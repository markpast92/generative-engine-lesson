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pasto\Downloads\test-generative engine\"/>
    </mc:Choice>
  </mc:AlternateContent>
  <xr:revisionPtr revIDLastSave="0" documentId="13_ncr:1_{3E6A98EE-E466-48F3-A461-936F2F32D1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te Spese" sheetId="1" r:id="rId1"/>
    <sheet name="Policy" sheetId="2" r:id="rId2"/>
    <sheet name="Budget" sheetId="3" r:id="rId3"/>
    <sheet name="Dashboard" sheetId="4" r:id="rId4"/>
  </sheets>
  <definedNames>
    <definedName name="_xlnm._FilterDatabase" localSheetId="0" hidden="1">'Note Spese'!$A$1:$M$121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<sst xmlns="http://schemas.openxmlformats.org/spreadsheetml/2006/main" count="1246" uniqueCount="192">
  <si>
    <t>ID</t>
  </si>
  <si>
    <t>Data</t>
  </si>
  <si>
    <t>Dipendente</t>
  </si>
  <si>
    <t>Manager</t>
  </si>
  <si>
    <t>Centro Costo</t>
  </si>
  <si>
    <t>Cliente</t>
  </si>
  <si>
    <t>Categoria</t>
  </si>
  <si>
    <t>Descrizione</t>
  </si>
  <si>
    <t>Importo (EUR)</t>
  </si>
  <si>
    <t>Valuta</t>
  </si>
  <si>
    <t>Trasferta</t>
  </si>
  <si>
    <t>Ricevuta</t>
  </si>
  <si>
    <t>Stato</t>
  </si>
  <si>
    <t>Laura Bianchi</t>
  </si>
  <si>
    <t>Paolo Neri</t>
  </si>
  <si>
    <t>CC-8636</t>
  </si>
  <si>
    <t>Intesa</t>
  </si>
  <si>
    <t>Parcheggio</t>
  </si>
  <si>
    <t>Spesa parcheggio</t>
  </si>
  <si>
    <t>EUR</t>
  </si>
  <si>
    <t>Si</t>
  </si>
  <si>
    <t>No</t>
  </si>
  <si>
    <t>Respinta</t>
  </si>
  <si>
    <t>Sara Colombo</t>
  </si>
  <si>
    <t>Maria Esposito</t>
  </si>
  <si>
    <t>CC-2905</t>
  </si>
  <si>
    <t>Vodafone</t>
  </si>
  <si>
    <t>Treno</t>
  </si>
  <si>
    <t>Spesa treno</t>
  </si>
  <si>
    <t>Approvata</t>
  </si>
  <si>
    <t>Marco Rossi</t>
  </si>
  <si>
    <t>CC-5578</t>
  </si>
  <si>
    <t>Pranzo</t>
  </si>
  <si>
    <t>Spesa pranzo</t>
  </si>
  <si>
    <t>Luca Ferrari</t>
  </si>
  <si>
    <t>CC-8719</t>
  </si>
  <si>
    <t>Da approvare</t>
  </si>
  <si>
    <t>CC-2495</t>
  </si>
  <si>
    <t>Sky</t>
  </si>
  <si>
    <t>CC-3682</t>
  </si>
  <si>
    <t>Enel</t>
  </si>
  <si>
    <t>CC-4774</t>
  </si>
  <si>
    <t>Hotel</t>
  </si>
  <si>
    <t>Spesa hotel</t>
  </si>
  <si>
    <t>CC-6225</t>
  </si>
  <si>
    <t>CC-8212</t>
  </si>
  <si>
    <t>Autostrada</t>
  </si>
  <si>
    <t>Spesa autostrada</t>
  </si>
  <si>
    <t>CC-1332</t>
  </si>
  <si>
    <t>Taxi</t>
  </si>
  <si>
    <t>Spesa taxi</t>
  </si>
  <si>
    <t>Giovanni Verdi</t>
  </si>
  <si>
    <t>CC-6353</t>
  </si>
  <si>
    <t>Cena</t>
  </si>
  <si>
    <t>Spesa cena</t>
  </si>
  <si>
    <t>CC-2700</t>
  </si>
  <si>
    <t>Volo</t>
  </si>
  <si>
    <t>Spesa volo</t>
  </si>
  <si>
    <t>CC-5740</t>
  </si>
  <si>
    <t>CC-9724</t>
  </si>
  <si>
    <t>CC-6215</t>
  </si>
  <si>
    <t>TIM</t>
  </si>
  <si>
    <t>CC-7922</t>
  </si>
  <si>
    <t>CC-2355</t>
  </si>
  <si>
    <t>CC-7863</t>
  </si>
  <si>
    <t>CC-8189</t>
  </si>
  <si>
    <t>CC-7650</t>
  </si>
  <si>
    <t>CC-5835</t>
  </si>
  <si>
    <t>CC-3340</t>
  </si>
  <si>
    <t>CC-3524</t>
  </si>
  <si>
    <t>CC-9661</t>
  </si>
  <si>
    <t>CC-6856</t>
  </si>
  <si>
    <t>CC-1307</t>
  </si>
  <si>
    <t>CC-9765</t>
  </si>
  <si>
    <t>CC-1622</t>
  </si>
  <si>
    <t>CC-6879</t>
  </si>
  <si>
    <t>CC-5931</t>
  </si>
  <si>
    <t>CC-4198</t>
  </si>
  <si>
    <t>CC-5442</t>
  </si>
  <si>
    <t>CC-6586</t>
  </si>
  <si>
    <t>CC-6346</t>
  </si>
  <si>
    <t>CC-5836</t>
  </si>
  <si>
    <t>CC-2140</t>
  </si>
  <si>
    <t>CC-7701</t>
  </si>
  <si>
    <t>CC-4537</t>
  </si>
  <si>
    <t>CC-8447</t>
  </si>
  <si>
    <t>CC-8417</t>
  </si>
  <si>
    <t>CC-4675</t>
  </si>
  <si>
    <t>CC-7637</t>
  </si>
  <si>
    <t>CC-3844</t>
  </si>
  <si>
    <t>CC-5762</t>
  </si>
  <si>
    <t>CC-3962</t>
  </si>
  <si>
    <t>CC-8399</t>
  </si>
  <si>
    <t>CC-8039</t>
  </si>
  <si>
    <t>CC-9151</t>
  </si>
  <si>
    <t>CC-7822</t>
  </si>
  <si>
    <t>CC-7331</t>
  </si>
  <si>
    <t>CC-5429</t>
  </si>
  <si>
    <t>CC-2577</t>
  </si>
  <si>
    <t>CC-2772</t>
  </si>
  <si>
    <t>CC-7036</t>
  </si>
  <si>
    <t>CC-3324</t>
  </si>
  <si>
    <t>CC-1729</t>
  </si>
  <si>
    <t>CC-6555</t>
  </si>
  <si>
    <t>CC-5357</t>
  </si>
  <si>
    <t>CC-9542</t>
  </si>
  <si>
    <t>CC-4908</t>
  </si>
  <si>
    <t>CC-5371</t>
  </si>
  <si>
    <t>CC-7067</t>
  </si>
  <si>
    <t>CC-6922</t>
  </si>
  <si>
    <t>CC-4619</t>
  </si>
  <si>
    <t>CC-1124</t>
  </si>
  <si>
    <t>CC-1904</t>
  </si>
  <si>
    <t>CC-9602</t>
  </si>
  <si>
    <t>CC-1339</t>
  </si>
  <si>
    <t>CC-1937</t>
  </si>
  <si>
    <t>CC-4239</t>
  </si>
  <si>
    <t>CC-6527</t>
  </si>
  <si>
    <t>CC-5628</t>
  </si>
  <si>
    <t>CC-7497</t>
  </si>
  <si>
    <t>CC-7662</t>
  </si>
  <si>
    <t>CC-4071</t>
  </si>
  <si>
    <t>CC-7528</t>
  </si>
  <si>
    <t>CC-7311</t>
  </si>
  <si>
    <t>CC-6377</t>
  </si>
  <si>
    <t>CC-8706</t>
  </si>
  <si>
    <t>CC-4252</t>
  </si>
  <si>
    <t>CC-9272</t>
  </si>
  <si>
    <t>CC-8221</t>
  </si>
  <si>
    <t>CC-1478</t>
  </si>
  <si>
    <t>CC-7985</t>
  </si>
  <si>
    <t>CC-4425</t>
  </si>
  <si>
    <t>CC-8988</t>
  </si>
  <si>
    <t>CC-7527</t>
  </si>
  <si>
    <t>CC-1390</t>
  </si>
  <si>
    <t>CC-2445</t>
  </si>
  <si>
    <t>CC-3755</t>
  </si>
  <si>
    <t>CC-7624</t>
  </si>
  <si>
    <t>CC-3009</t>
  </si>
  <si>
    <t>CC-8002</t>
  </si>
  <si>
    <t>CC-5168</t>
  </si>
  <si>
    <t>CC-1230</t>
  </si>
  <si>
    <t>CC-9655</t>
  </si>
  <si>
    <t>CC-7946</t>
  </si>
  <si>
    <t>CC-4698</t>
  </si>
  <si>
    <t>CC-9409</t>
  </si>
  <si>
    <t>CC-6808</t>
  </si>
  <si>
    <t>CC-6895</t>
  </si>
  <si>
    <t>CC-7617</t>
  </si>
  <si>
    <t>CC-5886</t>
  </si>
  <si>
    <t>CC-8458</t>
  </si>
  <si>
    <t>CC-1947</t>
  </si>
  <si>
    <t>CC-7162</t>
  </si>
  <si>
    <t>CC-9593</t>
  </si>
  <si>
    <t>CC-7895</t>
  </si>
  <si>
    <t>CC-4612</t>
  </si>
  <si>
    <t>CC-2314</t>
  </si>
  <si>
    <t>CC-1762</t>
  </si>
  <si>
    <t>CC-9044</t>
  </si>
  <si>
    <t>CC-3958</t>
  </si>
  <si>
    <t>CC-5386</t>
  </si>
  <si>
    <t>CC-4291</t>
  </si>
  <si>
    <t>CC-6078</t>
  </si>
  <si>
    <t>CC-4379</t>
  </si>
  <si>
    <t>CC-4586</t>
  </si>
  <si>
    <t>CC-7349</t>
  </si>
  <si>
    <t>Massimale</t>
  </si>
  <si>
    <t>Budget Annuale</t>
  </si>
  <si>
    <t>Speso</t>
  </si>
  <si>
    <t>% Utilizzo</t>
  </si>
  <si>
    <t>CC-1000</t>
  </si>
  <si>
    <t>CC-1001</t>
  </si>
  <si>
    <t>CC-1002</t>
  </si>
  <si>
    <t>CC-1003</t>
  </si>
  <si>
    <t>CC-1004</t>
  </si>
  <si>
    <t>CC-1005</t>
  </si>
  <si>
    <t>CC-1006</t>
  </si>
  <si>
    <t>CC-1007</t>
  </si>
  <si>
    <t>CC-1008</t>
  </si>
  <si>
    <t>CC-1009</t>
  </si>
  <si>
    <t>CC-1010</t>
  </si>
  <si>
    <t>CC-1011</t>
  </si>
  <si>
    <t>CC-1012</t>
  </si>
  <si>
    <t>CC-1013</t>
  </si>
  <si>
    <t>CC-1014</t>
  </si>
  <si>
    <t>KPI</t>
  </si>
  <si>
    <t>Valore</t>
  </si>
  <si>
    <t>Totale Spese</t>
  </si>
  <si>
    <t>Spese Senza Ricevuta</t>
  </si>
  <si>
    <t>Spese &gt; 500 EUR</t>
  </si>
  <si>
    <t>Totale Record</t>
  </si>
  <si>
    <t>Marco Pastorello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</si>
</sst>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workbookViewId="0">
      <selection activeCell="F19" sqref="F19"/>
    </sheetView>
  </sheetViews>
  <sheetFormatPr defaultRowHeight="14.5" x14ac:dyDescent="0.35"/>
  <cols>
    <col min="1" max="13" width="20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1001</v>
      </c>
      <c r="B2" s="2">
        <v>46023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 s="3" t="s">
        <v>21</v>
      </c>
      <c r="M2" t="s">
        <v>22</v>
      </c>
    </row>
    <row r="3" spans="1:13" x14ac:dyDescent="0.35">
      <c r="A3">
        <v>1002</v>
      </c>
      <c r="B3" s="2">
        <v>46024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121.06</v>
      </c>
      <c r="J3" t="s">
        <v>19</v>
      </c>
      <c r="K3" t="s">
        <v>20</v>
      </c>
      <c r="L3" t="s">
        <v>20</v>
      </c>
      <c r="M3" t="s">
        <v>29</v>
      </c>
    </row>
    <row r="4" spans="1:13" x14ac:dyDescent="0.35">
      <c r="A4">
        <v>1003</v>
      </c>
      <c r="B4" s="2">
        <v>46025</v>
      </c>
      <c r="C4" t="s">
        <v>30</v>
      </c>
      <c r="D4" t="s">
        <v>191</v>
      </c>
      <c r="E4" t="s">
        <v>31</v>
      </c>
      <c r="F4" t="s">
        <v>16</v>
      </c>
      <c r="G4" t="s">
        <v>32</v>
      </c>
      <c r="H4" t="s">
        <v>33</v>
      </c>
      <c r="I4">
        <v>29</v>
      </c>
      <c r="J4" t="s">
        <v>19</v>
      </c>
      <c r="K4" t="s">
        <v>20</v>
      </c>
      <c r="L4" t="s">
        <v>20</v>
      </c>
      <c r="M4" t="s">
        <v>22</v>
      </c>
    </row>
    <row r="5" spans="1:13" x14ac:dyDescent="0.35">
      <c r="A5">
        <v>1004</v>
      </c>
      <c r="B5" s="2">
        <v>46026</v>
      </c>
      <c r="C5" t="s">
        <v>34</v>
      </c>
      <c r="D5" t="s">
        <v>14</v>
      </c>
      <c r="E5" t="s">
        <v>35</v>
      </c>
      <c r="F5" t="s">
        <v>16</v>
      </c>
      <c r="G5" t="s">
        <v>17</v>
      </c>
      <c r="H5" t="s">
        <v>18</v>
      </c>
      <c r="I5">
        <v>265.56</v>
      </c>
      <c r="J5" t="s">
        <v>19</v>
      </c>
      <c r="K5" t="s">
        <v>20</v>
      </c>
      <c r="L5" t="s">
        <v>20</v>
      </c>
      <c r="M5" t="s">
        <v>36</v>
      </c>
    </row>
    <row r="6" spans="1:13" x14ac:dyDescent="0.35">
      <c r="A6">
        <v>1005</v>
      </c>
      <c r="B6" s="2">
        <v>46027</v>
      </c>
      <c r="C6" t="s">
        <v>23</v>
      </c>
      <c r="D6" t="s">
        <v>24</v>
      </c>
      <c r="E6" t="s">
        <v>37</v>
      </c>
      <c r="F6" t="s">
        <v>38</v>
      </c>
      <c r="G6" t="s">
        <v>32</v>
      </c>
      <c r="H6" t="s">
        <v>33</v>
      </c>
      <c r="I6">
        <v>240.59</v>
      </c>
      <c r="J6" t="s">
        <v>19</v>
      </c>
      <c r="K6" t="s">
        <v>21</v>
      </c>
      <c r="L6" t="s">
        <v>20</v>
      </c>
      <c r="M6" t="s">
        <v>36</v>
      </c>
    </row>
    <row r="7" spans="1:13" x14ac:dyDescent="0.35">
      <c r="A7">
        <v>1006</v>
      </c>
      <c r="B7" s="2">
        <v>46028</v>
      </c>
      <c r="C7" t="s">
        <v>34</v>
      </c>
      <c r="D7" t="s">
        <v>14</v>
      </c>
      <c r="E7" t="s">
        <v>39</v>
      </c>
      <c r="F7" t="s">
        <v>40</v>
      </c>
      <c r="G7" t="s">
        <v>32</v>
      </c>
      <c r="H7" t="s">
        <v>33</v>
      </c>
      <c r="I7">
        <v>333.48</v>
      </c>
      <c r="J7" t="s">
        <v>19</v>
      </c>
      <c r="K7" t="s">
        <v>20</v>
      </c>
      <c r="L7" t="s">
        <v>20</v>
      </c>
      <c r="M7" t="s">
        <v>36</v>
      </c>
    </row>
    <row r="8" spans="1:13" x14ac:dyDescent="0.35">
      <c r="A8">
        <v>1007</v>
      </c>
      <c r="B8" s="2">
        <v>46029</v>
      </c>
      <c r="C8" t="s">
        <v>23</v>
      </c>
      <c r="D8" t="s">
        <v>24</v>
      </c>
      <c r="E8" t="s">
        <v>41</v>
      </c>
      <c r="F8" t="s">
        <v>26</v>
      </c>
      <c r="G8" t="s">
        <v>42</v>
      </c>
      <c r="H8" t="s">
        <v>43</v>
      </c>
      <c r="I8">
        <v>24.13</v>
      </c>
      <c r="J8" t="s">
        <v>19</v>
      </c>
      <c r="K8" t="s">
        <v>20</v>
      </c>
      <c r="L8" t="s">
        <v>20</v>
      </c>
      <c r="M8" t="s">
        <v>29</v>
      </c>
    </row>
    <row r="9" spans="1:13" x14ac:dyDescent="0.35">
      <c r="A9">
        <v>1008</v>
      </c>
      <c r="B9" s="2">
        <v>46030</v>
      </c>
      <c r="C9" t="s">
        <v>30</v>
      </c>
      <c r="D9" t="s">
        <v>191</v>
      </c>
      <c r="E9" t="s">
        <v>44</v>
      </c>
      <c r="F9" t="s">
        <v>38</v>
      </c>
      <c r="G9" t="s">
        <v>17</v>
      </c>
      <c r="H9" t="s">
        <v>18</v>
      </c>
      <c r="I9">
        <v>336.9</v>
      </c>
      <c r="J9" t="s">
        <v>19</v>
      </c>
      <c r="K9" t="s">
        <v>20</v>
      </c>
      <c r="L9" t="s">
        <v>20</v>
      </c>
      <c r="M9" t="s">
        <v>36</v>
      </c>
    </row>
    <row r="10" spans="1:13" x14ac:dyDescent="0.35">
      <c r="A10">
        <v>1009</v>
      </c>
      <c r="B10" s="2">
        <v>46031</v>
      </c>
      <c r="C10" t="s">
        <v>34</v>
      </c>
      <c r="D10" t="s">
        <v>14</v>
      </c>
      <c r="E10" t="s">
        <v>45</v>
      </c>
      <c r="F10" t="s">
        <v>16</v>
      </c>
      <c r="G10" t="s">
        <v>46</v>
      </c>
      <c r="H10" t="s">
        <v>47</v>
      </c>
      <c r="I10">
        <v>322.74</v>
      </c>
      <c r="J10" t="s">
        <v>19</v>
      </c>
      <c r="K10" t="s">
        <v>21</v>
      </c>
      <c r="L10" t="s">
        <v>20</v>
      </c>
      <c r="M10" t="s">
        <v>36</v>
      </c>
    </row>
    <row r="11" spans="1:13" x14ac:dyDescent="0.35">
      <c r="A11">
        <v>1010</v>
      </c>
      <c r="B11" s="2">
        <v>46032</v>
      </c>
      <c r="C11" t="s">
        <v>34</v>
      </c>
      <c r="D11" t="s">
        <v>14</v>
      </c>
      <c r="E11" t="s">
        <v>48</v>
      </c>
      <c r="F11" t="s">
        <v>16</v>
      </c>
      <c r="G11" t="s">
        <v>49</v>
      </c>
      <c r="H11" t="s">
        <v>50</v>
      </c>
      <c r="I11">
        <v>79.900000000000006</v>
      </c>
      <c r="J11" t="s">
        <v>19</v>
      </c>
      <c r="K11" t="s">
        <v>21</v>
      </c>
      <c r="L11" t="s">
        <v>20</v>
      </c>
      <c r="M11" t="s">
        <v>36</v>
      </c>
    </row>
    <row r="12" spans="1:13" x14ac:dyDescent="0.35">
      <c r="A12">
        <v>1011</v>
      </c>
      <c r="B12" s="2">
        <v>46033</v>
      </c>
      <c r="C12" t="s">
        <v>51</v>
      </c>
      <c r="D12" t="s">
        <v>191</v>
      </c>
      <c r="E12" t="s">
        <v>52</v>
      </c>
      <c r="F12" t="s">
        <v>40</v>
      </c>
      <c r="G12" t="s">
        <v>53</v>
      </c>
      <c r="H12" t="s">
        <v>54</v>
      </c>
      <c r="I12">
        <v>149.13999999999999</v>
      </c>
      <c r="J12" t="s">
        <v>19</v>
      </c>
      <c r="K12" t="s">
        <v>20</v>
      </c>
      <c r="L12" t="s">
        <v>20</v>
      </c>
      <c r="M12" t="s">
        <v>36</v>
      </c>
    </row>
    <row r="13" spans="1:13" x14ac:dyDescent="0.35">
      <c r="A13">
        <v>1012</v>
      </c>
      <c r="B13" s="2">
        <v>46034</v>
      </c>
      <c r="C13" t="s">
        <v>23</v>
      </c>
      <c r="D13" t="s">
        <v>24</v>
      </c>
      <c r="E13" t="s">
        <v>55</v>
      </c>
      <c r="F13" t="s">
        <v>38</v>
      </c>
      <c r="G13" t="s">
        <v>56</v>
      </c>
      <c r="H13" t="s">
        <v>57</v>
      </c>
      <c r="I13">
        <v>66.489999999999995</v>
      </c>
      <c r="J13" t="s">
        <v>19</v>
      </c>
      <c r="K13" t="s">
        <v>21</v>
      </c>
      <c r="L13" t="s">
        <v>20</v>
      </c>
      <c r="M13" t="s">
        <v>22</v>
      </c>
    </row>
    <row r="14" spans="1:13" x14ac:dyDescent="0.35">
      <c r="A14">
        <v>1013</v>
      </c>
      <c r="B14" s="2">
        <v>46035</v>
      </c>
      <c r="C14" t="s">
        <v>34</v>
      </c>
      <c r="D14" t="s">
        <v>14</v>
      </c>
      <c r="E14" t="s">
        <v>58</v>
      </c>
      <c r="F14" t="s">
        <v>38</v>
      </c>
      <c r="G14" t="s">
        <v>27</v>
      </c>
      <c r="H14" t="s">
        <v>28</v>
      </c>
      <c r="I14">
        <v>150.26</v>
      </c>
      <c r="J14" t="s">
        <v>19</v>
      </c>
      <c r="K14" t="s">
        <v>20</v>
      </c>
      <c r="L14" t="s">
        <v>20</v>
      </c>
      <c r="M14" t="s">
        <v>36</v>
      </c>
    </row>
    <row r="15" spans="1:13" x14ac:dyDescent="0.35">
      <c r="A15">
        <v>1014</v>
      </c>
      <c r="B15" s="2">
        <v>46036</v>
      </c>
      <c r="C15" t="s">
        <v>30</v>
      </c>
      <c r="D15" t="s">
        <v>191</v>
      </c>
      <c r="E15" t="s">
        <v>59</v>
      </c>
      <c r="F15" t="s">
        <v>40</v>
      </c>
      <c r="G15" t="s">
        <v>42</v>
      </c>
      <c r="H15" t="s">
        <v>43</v>
      </c>
      <c r="I15">
        <v>339.83</v>
      </c>
      <c r="J15" t="s">
        <v>19</v>
      </c>
      <c r="K15" t="s">
        <v>20</v>
      </c>
      <c r="L15" s="3" t="s">
        <v>21</v>
      </c>
      <c r="M15" t="s">
        <v>36</v>
      </c>
    </row>
    <row r="16" spans="1:13" x14ac:dyDescent="0.35">
      <c r="A16">
        <v>1015</v>
      </c>
      <c r="B16" s="2">
        <v>46037</v>
      </c>
      <c r="C16" t="s">
        <v>51</v>
      </c>
      <c r="D16" t="s">
        <v>191</v>
      </c>
      <c r="E16" t="s">
        <v>60</v>
      </c>
      <c r="F16" t="s">
        <v>61</v>
      </c>
      <c r="G16" t="s">
        <v>53</v>
      </c>
      <c r="H16" t="s">
        <v>54</v>
      </c>
      <c r="I16">
        <v>139.88999999999999</v>
      </c>
      <c r="J16" t="s">
        <v>19</v>
      </c>
      <c r="K16" t="s">
        <v>20</v>
      </c>
      <c r="L16" t="s">
        <v>20</v>
      </c>
      <c r="M16" t="s">
        <v>29</v>
      </c>
    </row>
    <row r="17" spans="1:13" x14ac:dyDescent="0.35">
      <c r="A17">
        <v>1016</v>
      </c>
      <c r="B17" s="2">
        <v>46038</v>
      </c>
      <c r="C17" t="s">
        <v>34</v>
      </c>
      <c r="D17" t="s">
        <v>14</v>
      </c>
      <c r="E17" t="s">
        <v>62</v>
      </c>
      <c r="F17" t="s">
        <v>40</v>
      </c>
      <c r="G17" t="s">
        <v>42</v>
      </c>
      <c r="H17" t="s">
        <v>43</v>
      </c>
      <c r="I17">
        <v>171.93</v>
      </c>
      <c r="J17" t="s">
        <v>19</v>
      </c>
      <c r="K17" t="s">
        <v>21</v>
      </c>
      <c r="L17" t="s">
        <v>20</v>
      </c>
      <c r="M17" t="s">
        <v>22</v>
      </c>
    </row>
    <row r="18" spans="1:13" x14ac:dyDescent="0.35">
      <c r="A18">
        <v>1017</v>
      </c>
      <c r="B18" s="2">
        <v>46039</v>
      </c>
      <c r="C18" t="s">
        <v>13</v>
      </c>
      <c r="D18" t="s">
        <v>14</v>
      </c>
      <c r="E18" t="s">
        <v>63</v>
      </c>
      <c r="F18" t="s">
        <v>16</v>
      </c>
      <c r="G18" t="s">
        <v>49</v>
      </c>
      <c r="H18" t="s">
        <v>50</v>
      </c>
      <c r="I18">
        <v>179.8</v>
      </c>
      <c r="J18" t="s">
        <v>19</v>
      </c>
      <c r="K18" t="s">
        <v>20</v>
      </c>
      <c r="L18" t="s">
        <v>20</v>
      </c>
      <c r="M18" t="s">
        <v>36</v>
      </c>
    </row>
    <row r="19" spans="1:13" x14ac:dyDescent="0.35">
      <c r="A19">
        <v>1018</v>
      </c>
      <c r="B19" s="2">
        <v>46040</v>
      </c>
      <c r="C19" t="s">
        <v>13</v>
      </c>
      <c r="D19" t="s">
        <v>14</v>
      </c>
      <c r="E19" t="s">
        <v>64</v>
      </c>
      <c r="F19" t="s">
        <v>38</v>
      </c>
      <c r="G19" t="s">
        <v>56</v>
      </c>
      <c r="H19" t="s">
        <v>57</v>
      </c>
      <c r="I19" s="4">
        <v>650</v>
      </c>
      <c r="J19" t="s">
        <v>19</v>
      </c>
      <c r="K19" t="s">
        <v>20</v>
      </c>
      <c r="L19" t="s">
        <v>20</v>
      </c>
      <c r="M19" t="s">
        <v>29</v>
      </c>
    </row>
    <row r="20" spans="1:13" x14ac:dyDescent="0.35">
      <c r="A20">
        <v>1019</v>
      </c>
      <c r="B20" s="2">
        <v>46041</v>
      </c>
      <c r="C20" t="s">
        <v>30</v>
      </c>
      <c r="D20" t="s">
        <v>191</v>
      </c>
      <c r="E20" t="s">
        <v>65</v>
      </c>
      <c r="F20" t="s">
        <v>38</v>
      </c>
      <c r="G20" t="s">
        <v>17</v>
      </c>
      <c r="H20" t="s">
        <v>18</v>
      </c>
      <c r="I20">
        <v>228.5</v>
      </c>
      <c r="J20" t="s">
        <v>19</v>
      </c>
      <c r="K20" t="s">
        <v>20</v>
      </c>
      <c r="L20" t="s">
        <v>20</v>
      </c>
      <c r="M20" t="s">
        <v>29</v>
      </c>
    </row>
    <row r="21" spans="1:13" x14ac:dyDescent="0.35">
      <c r="A21">
        <v>1020</v>
      </c>
      <c r="B21" s="2">
        <v>46042</v>
      </c>
      <c r="C21" t="s">
        <v>51</v>
      </c>
      <c r="D21" t="s">
        <v>191</v>
      </c>
      <c r="E21" t="s">
        <v>66</v>
      </c>
      <c r="F21" t="s">
        <v>38</v>
      </c>
      <c r="G21" t="s">
        <v>53</v>
      </c>
      <c r="H21" t="s">
        <v>54</v>
      </c>
      <c r="I21">
        <v>72.19</v>
      </c>
      <c r="J21" t="s">
        <v>19</v>
      </c>
      <c r="K21" t="s">
        <v>20</v>
      </c>
      <c r="L21" t="s">
        <v>20</v>
      </c>
      <c r="M21" t="s">
        <v>36</v>
      </c>
    </row>
    <row r="22" spans="1:13" x14ac:dyDescent="0.35">
      <c r="A22">
        <v>1021</v>
      </c>
      <c r="B22" s="2">
        <v>46043</v>
      </c>
      <c r="C22" t="s">
        <v>34</v>
      </c>
      <c r="D22" t="s">
        <v>14</v>
      </c>
      <c r="E22" t="s">
        <v>67</v>
      </c>
      <c r="F22" t="s">
        <v>61</v>
      </c>
      <c r="G22" t="s">
        <v>56</v>
      </c>
      <c r="H22" t="s">
        <v>57</v>
      </c>
      <c r="I22">
        <v>202.57</v>
      </c>
      <c r="J22" t="s">
        <v>19</v>
      </c>
      <c r="K22" t="s">
        <v>21</v>
      </c>
      <c r="L22" t="s">
        <v>20</v>
      </c>
      <c r="M22" t="s">
        <v>22</v>
      </c>
    </row>
    <row r="23" spans="1:13" x14ac:dyDescent="0.35">
      <c r="A23">
        <v>1022</v>
      </c>
      <c r="B23" s="2">
        <v>46044</v>
      </c>
      <c r="C23" t="s">
        <v>23</v>
      </c>
      <c r="D23" t="s">
        <v>24</v>
      </c>
      <c r="E23" t="s">
        <v>68</v>
      </c>
      <c r="F23" t="s">
        <v>40</v>
      </c>
      <c r="G23" t="s">
        <v>27</v>
      </c>
      <c r="H23" t="s">
        <v>28</v>
      </c>
      <c r="I23">
        <v>306.83</v>
      </c>
      <c r="J23" t="s">
        <v>19</v>
      </c>
      <c r="K23" t="s">
        <v>20</v>
      </c>
      <c r="L23" t="s">
        <v>20</v>
      </c>
      <c r="M23" t="s">
        <v>29</v>
      </c>
    </row>
    <row r="24" spans="1:13" x14ac:dyDescent="0.35">
      <c r="A24">
        <v>1023</v>
      </c>
      <c r="B24" s="2">
        <v>46045</v>
      </c>
      <c r="C24" t="s">
        <v>34</v>
      </c>
      <c r="D24" t="s">
        <v>14</v>
      </c>
      <c r="E24" t="s">
        <v>69</v>
      </c>
      <c r="F24" t="s">
        <v>38</v>
      </c>
      <c r="G24" t="s">
        <v>56</v>
      </c>
      <c r="H24" t="s">
        <v>57</v>
      </c>
      <c r="I24">
        <v>296.24</v>
      </c>
      <c r="J24" t="s">
        <v>19</v>
      </c>
      <c r="K24" t="s">
        <v>21</v>
      </c>
      <c r="L24" t="s">
        <v>20</v>
      </c>
      <c r="M24" t="s">
        <v>29</v>
      </c>
    </row>
    <row r="25" spans="1:13" x14ac:dyDescent="0.35">
      <c r="A25">
        <v>1024</v>
      </c>
      <c r="B25" s="2">
        <v>46046</v>
      </c>
      <c r="C25" t="s">
        <v>51</v>
      </c>
      <c r="D25" t="s">
        <v>191</v>
      </c>
      <c r="E25" t="s">
        <v>70</v>
      </c>
      <c r="F25" t="s">
        <v>38</v>
      </c>
      <c r="G25" t="s">
        <v>32</v>
      </c>
      <c r="H25" t="s">
        <v>33</v>
      </c>
      <c r="I25">
        <v>0</v>
      </c>
      <c r="J25" t="s">
        <v>19</v>
      </c>
      <c r="K25" t="s">
        <v>21</v>
      </c>
      <c r="L25" t="s">
        <v>20</v>
      </c>
      <c r="M25" t="s">
        <v>29</v>
      </c>
    </row>
    <row r="26" spans="1:13" x14ac:dyDescent="0.35">
      <c r="A26">
        <v>1025</v>
      </c>
      <c r="B26" s="2">
        <v>46047</v>
      </c>
      <c r="C26" t="s">
        <v>13</v>
      </c>
      <c r="D26" t="s">
        <v>14</v>
      </c>
      <c r="E26" t="s">
        <v>71</v>
      </c>
      <c r="F26" t="s">
        <v>38</v>
      </c>
      <c r="G26" t="s">
        <v>27</v>
      </c>
      <c r="H26" t="s">
        <v>28</v>
      </c>
      <c r="I26">
        <v>237.97</v>
      </c>
      <c r="J26" t="s">
        <v>19</v>
      </c>
      <c r="K26" t="s">
        <v>20</v>
      </c>
      <c r="L26" t="s">
        <v>20</v>
      </c>
      <c r="M26" t="s">
        <v>22</v>
      </c>
    </row>
    <row r="27" spans="1:13" x14ac:dyDescent="0.35">
      <c r="A27">
        <v>1026</v>
      </c>
      <c r="B27" s="2">
        <v>46048</v>
      </c>
      <c r="C27" t="s">
        <v>51</v>
      </c>
      <c r="D27" t="s">
        <v>191</v>
      </c>
      <c r="E27" t="s">
        <v>72</v>
      </c>
      <c r="F27" t="s">
        <v>26</v>
      </c>
      <c r="G27" t="s">
        <v>17</v>
      </c>
      <c r="H27" t="s">
        <v>18</v>
      </c>
      <c r="I27">
        <v>92.42</v>
      </c>
      <c r="J27" t="s">
        <v>19</v>
      </c>
      <c r="K27" t="s">
        <v>21</v>
      </c>
      <c r="L27" t="s">
        <v>20</v>
      </c>
      <c r="M27" t="s">
        <v>29</v>
      </c>
    </row>
    <row r="28" spans="1:13" x14ac:dyDescent="0.35">
      <c r="A28">
        <v>1027</v>
      </c>
      <c r="B28" s="2">
        <v>46049</v>
      </c>
      <c r="C28" t="s">
        <v>13</v>
      </c>
      <c r="D28" t="s">
        <v>14</v>
      </c>
      <c r="E28" t="s">
        <v>73</v>
      </c>
      <c r="F28" t="s">
        <v>16</v>
      </c>
      <c r="G28" t="s">
        <v>49</v>
      </c>
      <c r="H28" t="s">
        <v>50</v>
      </c>
      <c r="I28">
        <v>221.44</v>
      </c>
      <c r="J28" t="s">
        <v>19</v>
      </c>
      <c r="K28" t="s">
        <v>20</v>
      </c>
      <c r="L28" s="3" t="s">
        <v>21</v>
      </c>
      <c r="M28" t="s">
        <v>36</v>
      </c>
    </row>
    <row r="29" spans="1:13" x14ac:dyDescent="0.35">
      <c r="A29">
        <v>1028</v>
      </c>
      <c r="B29" s="2">
        <v>46050</v>
      </c>
      <c r="C29" t="s">
        <v>34</v>
      </c>
      <c r="D29" t="s">
        <v>14</v>
      </c>
      <c r="E29" t="s">
        <v>74</v>
      </c>
      <c r="F29" t="s">
        <v>16</v>
      </c>
      <c r="G29" t="s">
        <v>17</v>
      </c>
      <c r="H29" t="s">
        <v>18</v>
      </c>
      <c r="I29">
        <v>182.45</v>
      </c>
      <c r="J29" t="s">
        <v>19</v>
      </c>
      <c r="K29" t="s">
        <v>21</v>
      </c>
      <c r="L29" t="s">
        <v>20</v>
      </c>
      <c r="M29" t="s">
        <v>36</v>
      </c>
    </row>
    <row r="30" spans="1:13" x14ac:dyDescent="0.35">
      <c r="A30">
        <v>1029</v>
      </c>
      <c r="B30" s="2">
        <v>46051</v>
      </c>
      <c r="C30" t="s">
        <v>34</v>
      </c>
      <c r="D30" t="s">
        <v>14</v>
      </c>
      <c r="E30" t="s">
        <v>75</v>
      </c>
      <c r="F30" t="s">
        <v>38</v>
      </c>
      <c r="G30" t="s">
        <v>46</v>
      </c>
      <c r="H30" t="s">
        <v>47</v>
      </c>
      <c r="I30">
        <v>127.09</v>
      </c>
      <c r="J30" t="s">
        <v>19</v>
      </c>
      <c r="K30" t="s">
        <v>20</v>
      </c>
      <c r="L30" t="s">
        <v>20</v>
      </c>
      <c r="M30" t="s">
        <v>36</v>
      </c>
    </row>
    <row r="31" spans="1:13" x14ac:dyDescent="0.35">
      <c r="A31">
        <v>1030</v>
      </c>
      <c r="B31" s="2">
        <v>46052</v>
      </c>
      <c r="C31" t="s">
        <v>34</v>
      </c>
      <c r="D31" t="s">
        <v>14</v>
      </c>
      <c r="E31" t="s">
        <v>76</v>
      </c>
      <c r="F31" t="s">
        <v>26</v>
      </c>
      <c r="G31" t="s">
        <v>32</v>
      </c>
      <c r="H31" t="s">
        <v>33</v>
      </c>
      <c r="I31">
        <v>293.48</v>
      </c>
      <c r="J31" t="s">
        <v>19</v>
      </c>
      <c r="K31" t="s">
        <v>20</v>
      </c>
      <c r="L31" t="s">
        <v>20</v>
      </c>
      <c r="M31" t="s">
        <v>22</v>
      </c>
    </row>
    <row r="32" spans="1:13" x14ac:dyDescent="0.35">
      <c r="A32">
        <v>1031</v>
      </c>
      <c r="B32" s="2">
        <v>46053</v>
      </c>
      <c r="C32" t="s">
        <v>23</v>
      </c>
      <c r="D32" t="s">
        <v>24</v>
      </c>
      <c r="E32" t="s">
        <v>77</v>
      </c>
      <c r="F32" t="s">
        <v>16</v>
      </c>
      <c r="G32" t="s">
        <v>42</v>
      </c>
      <c r="H32" t="s">
        <v>43</v>
      </c>
      <c r="I32">
        <v>85.33</v>
      </c>
      <c r="J32" t="s">
        <v>19</v>
      </c>
      <c r="K32" t="s">
        <v>20</v>
      </c>
      <c r="L32" t="s">
        <v>20</v>
      </c>
      <c r="M32" t="s">
        <v>29</v>
      </c>
    </row>
    <row r="33" spans="1:13" x14ac:dyDescent="0.35">
      <c r="A33">
        <v>1032</v>
      </c>
      <c r="B33" s="2">
        <v>46054</v>
      </c>
      <c r="C33" t="s">
        <v>51</v>
      </c>
      <c r="D33" t="s">
        <v>191</v>
      </c>
      <c r="E33" t="s">
        <v>78</v>
      </c>
      <c r="F33" t="s">
        <v>26</v>
      </c>
      <c r="G33" t="s">
        <v>49</v>
      </c>
      <c r="H33" t="s">
        <v>50</v>
      </c>
      <c r="I33">
        <v>43.76</v>
      </c>
      <c r="J33" t="s">
        <v>19</v>
      </c>
      <c r="K33" t="s">
        <v>20</v>
      </c>
      <c r="L33" t="s">
        <v>20</v>
      </c>
      <c r="M33" t="s">
        <v>36</v>
      </c>
    </row>
    <row r="34" spans="1:13" x14ac:dyDescent="0.35">
      <c r="A34">
        <v>1033</v>
      </c>
      <c r="B34" s="2">
        <v>46055</v>
      </c>
      <c r="C34" t="s">
        <v>13</v>
      </c>
      <c r="D34" t="s">
        <v>14</v>
      </c>
      <c r="E34" t="s">
        <v>79</v>
      </c>
      <c r="F34" t="s">
        <v>38</v>
      </c>
      <c r="G34" t="s">
        <v>53</v>
      </c>
      <c r="H34" t="s">
        <v>54</v>
      </c>
      <c r="I34">
        <v>27.9</v>
      </c>
      <c r="J34" t="s">
        <v>19</v>
      </c>
      <c r="K34" t="s">
        <v>21</v>
      </c>
      <c r="L34" t="s">
        <v>20</v>
      </c>
      <c r="M34" t="s">
        <v>22</v>
      </c>
    </row>
    <row r="35" spans="1:13" x14ac:dyDescent="0.35">
      <c r="A35">
        <v>1034</v>
      </c>
      <c r="B35" s="2">
        <v>46056</v>
      </c>
      <c r="C35" t="s">
        <v>23</v>
      </c>
      <c r="D35" t="s">
        <v>24</v>
      </c>
      <c r="E35" t="s">
        <v>80</v>
      </c>
      <c r="F35" t="s">
        <v>16</v>
      </c>
      <c r="G35" t="s">
        <v>27</v>
      </c>
      <c r="H35" t="s">
        <v>28</v>
      </c>
      <c r="I35">
        <v>100.25</v>
      </c>
      <c r="J35" t="s">
        <v>19</v>
      </c>
      <c r="K35" t="s">
        <v>20</v>
      </c>
      <c r="L35" t="s">
        <v>20</v>
      </c>
      <c r="M35" t="s">
        <v>36</v>
      </c>
    </row>
    <row r="36" spans="1:13" x14ac:dyDescent="0.35">
      <c r="A36">
        <v>1035</v>
      </c>
      <c r="B36" s="2">
        <v>46057</v>
      </c>
      <c r="C36" t="s">
        <v>34</v>
      </c>
      <c r="D36" t="s">
        <v>14</v>
      </c>
      <c r="E36" t="s">
        <v>81</v>
      </c>
      <c r="F36" t="s">
        <v>16</v>
      </c>
      <c r="G36" t="s">
        <v>17</v>
      </c>
      <c r="H36" t="s">
        <v>18</v>
      </c>
      <c r="I36" s="4">
        <v>650</v>
      </c>
      <c r="J36" t="s">
        <v>19</v>
      </c>
      <c r="K36" t="s">
        <v>20</v>
      </c>
      <c r="L36" t="s">
        <v>20</v>
      </c>
      <c r="M36" t="s">
        <v>36</v>
      </c>
    </row>
    <row r="37" spans="1:13" x14ac:dyDescent="0.35">
      <c r="A37">
        <v>1036</v>
      </c>
      <c r="B37" s="2">
        <v>46058</v>
      </c>
      <c r="C37" t="s">
        <v>30</v>
      </c>
      <c r="D37" t="s">
        <v>191</v>
      </c>
      <c r="E37" t="s">
        <v>82</v>
      </c>
      <c r="F37" t="s">
        <v>40</v>
      </c>
      <c r="G37" t="s">
        <v>49</v>
      </c>
      <c r="H37" t="s">
        <v>50</v>
      </c>
      <c r="I37">
        <v>14.82</v>
      </c>
      <c r="J37" t="s">
        <v>19</v>
      </c>
      <c r="K37" t="s">
        <v>20</v>
      </c>
      <c r="L37" t="s">
        <v>20</v>
      </c>
      <c r="M37" t="s">
        <v>22</v>
      </c>
    </row>
    <row r="38" spans="1:13" x14ac:dyDescent="0.35">
      <c r="A38">
        <v>1037</v>
      </c>
      <c r="B38" s="2">
        <v>46059</v>
      </c>
      <c r="C38" t="s">
        <v>23</v>
      </c>
      <c r="D38" t="s">
        <v>24</v>
      </c>
      <c r="E38" t="s">
        <v>83</v>
      </c>
      <c r="F38" t="s">
        <v>40</v>
      </c>
      <c r="G38" t="s">
        <v>56</v>
      </c>
      <c r="H38" t="s">
        <v>57</v>
      </c>
      <c r="I38">
        <v>158.49</v>
      </c>
      <c r="J38" t="s">
        <v>19</v>
      </c>
      <c r="K38" t="s">
        <v>21</v>
      </c>
      <c r="L38" t="s">
        <v>20</v>
      </c>
      <c r="M38" t="s">
        <v>36</v>
      </c>
    </row>
    <row r="39" spans="1:13" x14ac:dyDescent="0.35">
      <c r="A39">
        <v>1038</v>
      </c>
      <c r="B39" s="2">
        <v>46060</v>
      </c>
      <c r="C39" t="s">
        <v>34</v>
      </c>
      <c r="D39" t="s">
        <v>14</v>
      </c>
      <c r="E39" t="s">
        <v>84</v>
      </c>
      <c r="F39" t="s">
        <v>61</v>
      </c>
      <c r="G39" t="s">
        <v>32</v>
      </c>
      <c r="H39" t="s">
        <v>33</v>
      </c>
      <c r="I39">
        <v>127.65</v>
      </c>
      <c r="J39" t="s">
        <v>19</v>
      </c>
      <c r="K39" t="s">
        <v>21</v>
      </c>
      <c r="L39" t="s">
        <v>20</v>
      </c>
      <c r="M39" t="s">
        <v>36</v>
      </c>
    </row>
    <row r="40" spans="1:13" x14ac:dyDescent="0.35">
      <c r="A40">
        <v>1039</v>
      </c>
      <c r="B40" s="2">
        <v>46061</v>
      </c>
      <c r="C40" t="s">
        <v>51</v>
      </c>
      <c r="D40" t="s">
        <v>191</v>
      </c>
      <c r="E40" t="s">
        <v>85</v>
      </c>
      <c r="F40" t="s">
        <v>26</v>
      </c>
      <c r="G40" t="s">
        <v>53</v>
      </c>
      <c r="H40" t="s">
        <v>54</v>
      </c>
      <c r="I40">
        <v>102.35</v>
      </c>
      <c r="J40" t="s">
        <v>19</v>
      </c>
      <c r="K40" t="s">
        <v>20</v>
      </c>
      <c r="L40" t="s">
        <v>20</v>
      </c>
      <c r="M40" t="s">
        <v>29</v>
      </c>
    </row>
    <row r="41" spans="1:13" x14ac:dyDescent="0.35">
      <c r="A41">
        <v>1040</v>
      </c>
      <c r="B41" s="2">
        <v>46062</v>
      </c>
      <c r="C41" t="s">
        <v>13</v>
      </c>
      <c r="D41" t="s">
        <v>14</v>
      </c>
      <c r="E41" t="s">
        <v>86</v>
      </c>
      <c r="F41" t="s">
        <v>40</v>
      </c>
      <c r="G41" t="s">
        <v>42</v>
      </c>
      <c r="H41" t="s">
        <v>43</v>
      </c>
      <c r="I41">
        <v>204.4</v>
      </c>
      <c r="J41" t="s">
        <v>19</v>
      </c>
      <c r="K41" t="s">
        <v>20</v>
      </c>
      <c r="L41" s="3" t="s">
        <v>21</v>
      </c>
      <c r="M41" t="s">
        <v>36</v>
      </c>
    </row>
    <row r="42" spans="1:13" x14ac:dyDescent="0.35">
      <c r="A42">
        <v>1041</v>
      </c>
      <c r="B42" s="2">
        <v>46063</v>
      </c>
      <c r="C42" t="s">
        <v>13</v>
      </c>
      <c r="D42" t="s">
        <v>14</v>
      </c>
      <c r="E42" t="s">
        <v>87</v>
      </c>
      <c r="F42" t="s">
        <v>26</v>
      </c>
      <c r="G42" t="s">
        <v>53</v>
      </c>
      <c r="H42" t="s">
        <v>54</v>
      </c>
      <c r="I42">
        <v>86.11</v>
      </c>
      <c r="J42" t="s">
        <v>19</v>
      </c>
      <c r="K42" t="s">
        <v>20</v>
      </c>
      <c r="L42" t="s">
        <v>20</v>
      </c>
      <c r="M42" t="s">
        <v>22</v>
      </c>
    </row>
    <row r="43" spans="1:13" x14ac:dyDescent="0.35">
      <c r="A43">
        <v>1042</v>
      </c>
      <c r="B43" s="2">
        <v>46064</v>
      </c>
      <c r="C43" t="s">
        <v>34</v>
      </c>
      <c r="D43" t="s">
        <v>14</v>
      </c>
      <c r="E43" t="s">
        <v>88</v>
      </c>
      <c r="F43" t="s">
        <v>38</v>
      </c>
      <c r="G43" t="s">
        <v>17</v>
      </c>
      <c r="H43" t="s">
        <v>18</v>
      </c>
      <c r="I43">
        <v>226.47</v>
      </c>
      <c r="J43" t="s">
        <v>19</v>
      </c>
      <c r="K43" t="s">
        <v>21</v>
      </c>
      <c r="L43" t="s">
        <v>20</v>
      </c>
      <c r="M43" t="s">
        <v>22</v>
      </c>
    </row>
    <row r="44" spans="1:13" x14ac:dyDescent="0.35">
      <c r="A44">
        <v>1043</v>
      </c>
      <c r="B44" s="2">
        <v>46065</v>
      </c>
      <c r="C44" t="s">
        <v>23</v>
      </c>
      <c r="D44" t="s">
        <v>24</v>
      </c>
      <c r="E44" t="s">
        <v>89</v>
      </c>
      <c r="F44" t="s">
        <v>16</v>
      </c>
      <c r="G44" t="s">
        <v>27</v>
      </c>
      <c r="H44" t="s">
        <v>28</v>
      </c>
      <c r="I44">
        <v>14.03</v>
      </c>
      <c r="J44" t="s">
        <v>19</v>
      </c>
      <c r="K44" t="s">
        <v>20</v>
      </c>
      <c r="L44" t="s">
        <v>20</v>
      </c>
      <c r="M44" t="s">
        <v>22</v>
      </c>
    </row>
    <row r="45" spans="1:13" x14ac:dyDescent="0.35">
      <c r="A45">
        <v>1044</v>
      </c>
      <c r="B45" s="2">
        <v>46066</v>
      </c>
      <c r="C45" t="s">
        <v>23</v>
      </c>
      <c r="D45" t="s">
        <v>24</v>
      </c>
      <c r="E45" t="s">
        <v>90</v>
      </c>
      <c r="F45" t="s">
        <v>38</v>
      </c>
      <c r="G45" t="s">
        <v>56</v>
      </c>
      <c r="H45" t="s">
        <v>57</v>
      </c>
      <c r="I45">
        <v>13.9</v>
      </c>
      <c r="J45" t="s">
        <v>19</v>
      </c>
      <c r="K45" t="s">
        <v>21</v>
      </c>
      <c r="L45" t="s">
        <v>20</v>
      </c>
      <c r="M45" t="s">
        <v>36</v>
      </c>
    </row>
    <row r="46" spans="1:13" x14ac:dyDescent="0.35">
      <c r="A46">
        <v>1045</v>
      </c>
      <c r="B46" s="2">
        <v>46067</v>
      </c>
      <c r="C46" t="s">
        <v>30</v>
      </c>
      <c r="D46" t="s">
        <v>191</v>
      </c>
      <c r="E46" t="s">
        <v>91</v>
      </c>
      <c r="F46" t="s">
        <v>16</v>
      </c>
      <c r="G46" t="s">
        <v>46</v>
      </c>
      <c r="H46" t="s">
        <v>47</v>
      </c>
      <c r="I46">
        <v>274.27999999999997</v>
      </c>
      <c r="J46" t="s">
        <v>19</v>
      </c>
      <c r="K46" t="s">
        <v>21</v>
      </c>
      <c r="L46" t="s">
        <v>20</v>
      </c>
      <c r="M46" t="s">
        <v>36</v>
      </c>
    </row>
    <row r="47" spans="1:13" x14ac:dyDescent="0.35">
      <c r="A47">
        <v>1046</v>
      </c>
      <c r="B47" s="2">
        <v>46068</v>
      </c>
      <c r="C47" t="s">
        <v>51</v>
      </c>
      <c r="D47" t="s">
        <v>191</v>
      </c>
      <c r="E47" t="s">
        <v>92</v>
      </c>
      <c r="F47" t="s">
        <v>26</v>
      </c>
      <c r="G47" t="s">
        <v>32</v>
      </c>
      <c r="H47" t="s">
        <v>33</v>
      </c>
      <c r="I47">
        <v>254.04</v>
      </c>
      <c r="J47" t="s">
        <v>19</v>
      </c>
      <c r="K47" t="s">
        <v>20</v>
      </c>
      <c r="L47" t="s">
        <v>20</v>
      </c>
      <c r="M47" t="s">
        <v>36</v>
      </c>
    </row>
    <row r="48" spans="1:13" x14ac:dyDescent="0.35">
      <c r="A48">
        <v>1047</v>
      </c>
      <c r="B48" s="2">
        <v>46069</v>
      </c>
      <c r="C48" t="s">
        <v>13</v>
      </c>
      <c r="D48" t="s">
        <v>14</v>
      </c>
      <c r="E48" t="s">
        <v>93</v>
      </c>
      <c r="F48" t="s">
        <v>40</v>
      </c>
      <c r="G48" t="s">
        <v>56</v>
      </c>
      <c r="H48" t="s">
        <v>57</v>
      </c>
      <c r="I48">
        <v>0</v>
      </c>
      <c r="J48" t="s">
        <v>19</v>
      </c>
      <c r="K48" t="s">
        <v>20</v>
      </c>
      <c r="L48" t="s">
        <v>20</v>
      </c>
      <c r="M48" t="s">
        <v>36</v>
      </c>
    </row>
    <row r="49" spans="1:13" x14ac:dyDescent="0.35">
      <c r="A49">
        <v>1048</v>
      </c>
      <c r="B49" s="2">
        <v>46070</v>
      </c>
      <c r="C49" t="s">
        <v>34</v>
      </c>
      <c r="D49" t="s">
        <v>14</v>
      </c>
      <c r="E49" t="s">
        <v>94</v>
      </c>
      <c r="F49" t="s">
        <v>26</v>
      </c>
      <c r="G49" t="s">
        <v>32</v>
      </c>
      <c r="H49" t="s">
        <v>33</v>
      </c>
      <c r="I49">
        <v>45.14</v>
      </c>
      <c r="J49" t="s">
        <v>19</v>
      </c>
      <c r="K49" t="s">
        <v>21</v>
      </c>
      <c r="L49" t="s">
        <v>20</v>
      </c>
      <c r="M49" t="s">
        <v>36</v>
      </c>
    </row>
    <row r="50" spans="1:13" x14ac:dyDescent="0.35">
      <c r="A50">
        <v>1049</v>
      </c>
      <c r="B50" s="2">
        <v>46071</v>
      </c>
      <c r="C50" t="s">
        <v>23</v>
      </c>
      <c r="D50" t="s">
        <v>24</v>
      </c>
      <c r="E50" t="s">
        <v>95</v>
      </c>
      <c r="F50" t="s">
        <v>26</v>
      </c>
      <c r="G50" t="s">
        <v>17</v>
      </c>
      <c r="H50" t="s">
        <v>18</v>
      </c>
      <c r="I50">
        <v>191.21</v>
      </c>
      <c r="J50" t="s">
        <v>19</v>
      </c>
      <c r="K50" t="s">
        <v>20</v>
      </c>
      <c r="L50" t="s">
        <v>20</v>
      </c>
      <c r="M50" t="s">
        <v>22</v>
      </c>
    </row>
    <row r="51" spans="1:13" x14ac:dyDescent="0.35">
      <c r="A51">
        <v>1050</v>
      </c>
      <c r="B51" s="2">
        <v>46072</v>
      </c>
      <c r="C51" t="s">
        <v>51</v>
      </c>
      <c r="D51" t="s">
        <v>191</v>
      </c>
      <c r="E51" t="s">
        <v>96</v>
      </c>
      <c r="F51" t="s">
        <v>26</v>
      </c>
      <c r="G51" t="s">
        <v>27</v>
      </c>
      <c r="H51" t="s">
        <v>28</v>
      </c>
      <c r="I51">
        <v>135.76</v>
      </c>
      <c r="J51" t="s">
        <v>19</v>
      </c>
      <c r="K51" t="s">
        <v>21</v>
      </c>
      <c r="L51" t="s">
        <v>20</v>
      </c>
      <c r="M51" t="s">
        <v>29</v>
      </c>
    </row>
    <row r="52" spans="1:13" x14ac:dyDescent="0.35">
      <c r="A52">
        <v>1051</v>
      </c>
      <c r="B52" s="2">
        <v>46073</v>
      </c>
      <c r="C52" t="s">
        <v>51</v>
      </c>
      <c r="D52" t="s">
        <v>191</v>
      </c>
      <c r="E52" t="s">
        <v>97</v>
      </c>
      <c r="F52" t="s">
        <v>38</v>
      </c>
      <c r="G52" t="s">
        <v>17</v>
      </c>
      <c r="H52" t="s">
        <v>18</v>
      </c>
      <c r="I52">
        <v>155.01</v>
      </c>
      <c r="J52" t="s">
        <v>19</v>
      </c>
      <c r="K52" t="s">
        <v>20</v>
      </c>
      <c r="L52" t="s">
        <v>20</v>
      </c>
      <c r="M52" t="s">
        <v>29</v>
      </c>
    </row>
    <row r="53" spans="1:13" x14ac:dyDescent="0.35">
      <c r="A53">
        <v>1052</v>
      </c>
      <c r="B53" s="2">
        <v>46074</v>
      </c>
      <c r="C53" t="s">
        <v>51</v>
      </c>
      <c r="D53" t="s">
        <v>191</v>
      </c>
      <c r="E53" t="s">
        <v>98</v>
      </c>
      <c r="F53" t="s">
        <v>26</v>
      </c>
      <c r="G53" t="s">
        <v>17</v>
      </c>
      <c r="H53" t="s">
        <v>18</v>
      </c>
      <c r="I53" s="4">
        <v>650</v>
      </c>
      <c r="J53" t="s">
        <v>19</v>
      </c>
      <c r="K53" t="s">
        <v>20</v>
      </c>
      <c r="L53" t="s">
        <v>20</v>
      </c>
      <c r="M53" t="s">
        <v>36</v>
      </c>
    </row>
    <row r="54" spans="1:13" x14ac:dyDescent="0.35">
      <c r="A54">
        <v>1053</v>
      </c>
      <c r="B54" s="2">
        <v>46075</v>
      </c>
      <c r="C54" t="s">
        <v>30</v>
      </c>
      <c r="D54" t="s">
        <v>191</v>
      </c>
      <c r="E54" t="s">
        <v>99</v>
      </c>
      <c r="F54" t="s">
        <v>38</v>
      </c>
      <c r="G54" t="s">
        <v>46</v>
      </c>
      <c r="H54" t="s">
        <v>47</v>
      </c>
      <c r="I54">
        <v>125</v>
      </c>
      <c r="J54" t="s">
        <v>19</v>
      </c>
      <c r="K54" t="s">
        <v>20</v>
      </c>
      <c r="L54" s="3" t="s">
        <v>21</v>
      </c>
      <c r="M54" t="s">
        <v>29</v>
      </c>
    </row>
    <row r="55" spans="1:13" x14ac:dyDescent="0.35">
      <c r="A55">
        <v>1054</v>
      </c>
      <c r="B55" s="2">
        <v>46076</v>
      </c>
      <c r="C55" t="s">
        <v>23</v>
      </c>
      <c r="D55" t="s">
        <v>24</v>
      </c>
      <c r="E55" t="s">
        <v>100</v>
      </c>
      <c r="F55" t="s">
        <v>26</v>
      </c>
      <c r="G55" t="s">
        <v>42</v>
      </c>
      <c r="H55" t="s">
        <v>43</v>
      </c>
      <c r="I55">
        <v>322.77999999999997</v>
      </c>
      <c r="J55" t="s">
        <v>19</v>
      </c>
      <c r="K55" t="s">
        <v>21</v>
      </c>
      <c r="L55" t="s">
        <v>20</v>
      </c>
      <c r="M55" t="s">
        <v>29</v>
      </c>
    </row>
    <row r="56" spans="1:13" x14ac:dyDescent="0.35">
      <c r="A56">
        <v>1055</v>
      </c>
      <c r="B56" s="2">
        <v>46077</v>
      </c>
      <c r="C56" t="s">
        <v>34</v>
      </c>
      <c r="D56" t="s">
        <v>14</v>
      </c>
      <c r="E56" t="s">
        <v>101</v>
      </c>
      <c r="F56" t="s">
        <v>40</v>
      </c>
      <c r="G56" t="s">
        <v>17</v>
      </c>
      <c r="H56" t="s">
        <v>18</v>
      </c>
      <c r="I56">
        <v>29.77</v>
      </c>
      <c r="J56" t="s">
        <v>19</v>
      </c>
      <c r="K56" t="s">
        <v>20</v>
      </c>
      <c r="L56" t="s">
        <v>20</v>
      </c>
      <c r="M56" t="s">
        <v>22</v>
      </c>
    </row>
    <row r="57" spans="1:13" x14ac:dyDescent="0.35">
      <c r="A57">
        <v>1056</v>
      </c>
      <c r="B57" s="2">
        <v>46078</v>
      </c>
      <c r="C57" t="s">
        <v>51</v>
      </c>
      <c r="D57" t="s">
        <v>191</v>
      </c>
      <c r="E57" t="s">
        <v>102</v>
      </c>
      <c r="F57" t="s">
        <v>61</v>
      </c>
      <c r="G57" t="s">
        <v>17</v>
      </c>
      <c r="H57" t="s">
        <v>18</v>
      </c>
      <c r="I57">
        <v>219.08</v>
      </c>
      <c r="J57" t="s">
        <v>19</v>
      </c>
      <c r="K57" t="s">
        <v>21</v>
      </c>
      <c r="L57" t="s">
        <v>20</v>
      </c>
      <c r="M57" t="s">
        <v>36</v>
      </c>
    </row>
    <row r="58" spans="1:13" x14ac:dyDescent="0.35">
      <c r="A58">
        <v>1057</v>
      </c>
      <c r="B58" s="2">
        <v>46079</v>
      </c>
      <c r="C58" t="s">
        <v>30</v>
      </c>
      <c r="D58" t="s">
        <v>191</v>
      </c>
      <c r="E58" t="s">
        <v>103</v>
      </c>
      <c r="F58" t="s">
        <v>16</v>
      </c>
      <c r="G58" t="s">
        <v>49</v>
      </c>
      <c r="H58" t="s">
        <v>50</v>
      </c>
      <c r="I58">
        <v>100.81</v>
      </c>
      <c r="J58" t="s">
        <v>19</v>
      </c>
      <c r="K58" t="s">
        <v>20</v>
      </c>
      <c r="L58" t="s">
        <v>20</v>
      </c>
      <c r="M58" t="s">
        <v>29</v>
      </c>
    </row>
    <row r="59" spans="1:13" x14ac:dyDescent="0.35">
      <c r="A59">
        <v>1058</v>
      </c>
      <c r="B59" s="2">
        <v>46080</v>
      </c>
      <c r="C59" t="s">
        <v>13</v>
      </c>
      <c r="D59" t="s">
        <v>14</v>
      </c>
      <c r="E59" t="s">
        <v>104</v>
      </c>
      <c r="F59" t="s">
        <v>16</v>
      </c>
      <c r="G59" t="s">
        <v>49</v>
      </c>
      <c r="H59" t="s">
        <v>50</v>
      </c>
      <c r="I59">
        <v>170.01</v>
      </c>
      <c r="J59" t="s">
        <v>19</v>
      </c>
      <c r="K59" t="s">
        <v>20</v>
      </c>
      <c r="L59" t="s">
        <v>20</v>
      </c>
      <c r="M59" t="s">
        <v>22</v>
      </c>
    </row>
    <row r="60" spans="1:13" x14ac:dyDescent="0.35">
      <c r="A60">
        <v>1059</v>
      </c>
      <c r="B60" s="2">
        <v>46081</v>
      </c>
      <c r="C60" t="s">
        <v>23</v>
      </c>
      <c r="D60" t="s">
        <v>24</v>
      </c>
      <c r="E60" t="s">
        <v>105</v>
      </c>
      <c r="F60" t="s">
        <v>16</v>
      </c>
      <c r="G60" t="s">
        <v>17</v>
      </c>
      <c r="H60" t="s">
        <v>18</v>
      </c>
      <c r="I60">
        <v>129.77000000000001</v>
      </c>
      <c r="J60" t="s">
        <v>19</v>
      </c>
      <c r="K60" t="s">
        <v>20</v>
      </c>
      <c r="L60" t="s">
        <v>20</v>
      </c>
      <c r="M60" t="s">
        <v>22</v>
      </c>
    </row>
    <row r="61" spans="1:13" x14ac:dyDescent="0.35">
      <c r="A61">
        <v>1060</v>
      </c>
      <c r="B61" s="2">
        <v>46082</v>
      </c>
      <c r="C61" t="s">
        <v>13</v>
      </c>
      <c r="D61" t="s">
        <v>14</v>
      </c>
      <c r="E61" t="s">
        <v>106</v>
      </c>
      <c r="F61" t="s">
        <v>16</v>
      </c>
      <c r="G61" t="s">
        <v>49</v>
      </c>
      <c r="H61" t="s">
        <v>50</v>
      </c>
      <c r="I61">
        <v>196.77</v>
      </c>
      <c r="J61" t="s">
        <v>19</v>
      </c>
      <c r="K61" t="s">
        <v>20</v>
      </c>
      <c r="L61" t="s">
        <v>20</v>
      </c>
      <c r="M61" t="s">
        <v>36</v>
      </c>
    </row>
    <row r="62" spans="1:13" x14ac:dyDescent="0.35">
      <c r="A62">
        <v>1061</v>
      </c>
      <c r="B62" s="2">
        <v>46083</v>
      </c>
      <c r="C62" t="s">
        <v>23</v>
      </c>
      <c r="D62" t="s">
        <v>24</v>
      </c>
      <c r="E62" t="s">
        <v>107</v>
      </c>
      <c r="F62" t="s">
        <v>26</v>
      </c>
      <c r="G62" t="s">
        <v>49</v>
      </c>
      <c r="H62" t="s">
        <v>50</v>
      </c>
      <c r="I62">
        <v>62.34</v>
      </c>
      <c r="J62" t="s">
        <v>19</v>
      </c>
      <c r="K62" t="s">
        <v>20</v>
      </c>
      <c r="L62" t="s">
        <v>20</v>
      </c>
      <c r="M62" t="s">
        <v>36</v>
      </c>
    </row>
    <row r="63" spans="1:13" x14ac:dyDescent="0.35">
      <c r="A63">
        <v>1062</v>
      </c>
      <c r="B63" s="2">
        <v>46084</v>
      </c>
      <c r="C63" t="s">
        <v>51</v>
      </c>
      <c r="D63" t="s">
        <v>191</v>
      </c>
      <c r="E63" t="s">
        <v>108</v>
      </c>
      <c r="F63" t="s">
        <v>16</v>
      </c>
      <c r="G63" t="s">
        <v>17</v>
      </c>
      <c r="H63" t="s">
        <v>18</v>
      </c>
      <c r="I63">
        <v>106.16</v>
      </c>
      <c r="J63" t="s">
        <v>19</v>
      </c>
      <c r="K63" t="s">
        <v>20</v>
      </c>
      <c r="L63" t="s">
        <v>20</v>
      </c>
      <c r="M63" t="s">
        <v>29</v>
      </c>
    </row>
    <row r="64" spans="1:13" x14ac:dyDescent="0.35">
      <c r="A64">
        <v>1063</v>
      </c>
      <c r="B64" s="2">
        <v>46085</v>
      </c>
      <c r="C64" t="s">
        <v>23</v>
      </c>
      <c r="D64" t="s">
        <v>24</v>
      </c>
      <c r="E64" t="s">
        <v>109</v>
      </c>
      <c r="F64" t="s">
        <v>40</v>
      </c>
      <c r="G64" t="s">
        <v>42</v>
      </c>
      <c r="H64" t="s">
        <v>43</v>
      </c>
      <c r="I64">
        <v>93.8</v>
      </c>
      <c r="J64" t="s">
        <v>19</v>
      </c>
      <c r="K64" t="s">
        <v>21</v>
      </c>
      <c r="L64" t="s">
        <v>20</v>
      </c>
      <c r="M64" t="s">
        <v>22</v>
      </c>
    </row>
    <row r="65" spans="1:13" x14ac:dyDescent="0.35">
      <c r="A65">
        <v>1064</v>
      </c>
      <c r="B65" s="2">
        <v>46086</v>
      </c>
      <c r="C65" t="s">
        <v>23</v>
      </c>
      <c r="D65" t="s">
        <v>24</v>
      </c>
      <c r="E65" t="s">
        <v>110</v>
      </c>
      <c r="F65" t="s">
        <v>16</v>
      </c>
      <c r="G65" t="s">
        <v>42</v>
      </c>
      <c r="H65" t="s">
        <v>43</v>
      </c>
      <c r="I65">
        <v>238.31</v>
      </c>
      <c r="J65" t="s">
        <v>19</v>
      </c>
      <c r="K65" t="s">
        <v>20</v>
      </c>
      <c r="L65" t="s">
        <v>20</v>
      </c>
      <c r="M65" t="s">
        <v>22</v>
      </c>
    </row>
    <row r="66" spans="1:13" x14ac:dyDescent="0.35">
      <c r="A66">
        <v>1065</v>
      </c>
      <c r="B66" s="2">
        <v>46087</v>
      </c>
      <c r="C66" t="s">
        <v>34</v>
      </c>
      <c r="D66" t="s">
        <v>14</v>
      </c>
      <c r="E66" t="s">
        <v>111</v>
      </c>
      <c r="F66" t="s">
        <v>38</v>
      </c>
      <c r="G66" t="s">
        <v>56</v>
      </c>
      <c r="H66" t="s">
        <v>57</v>
      </c>
      <c r="I66">
        <v>227.46</v>
      </c>
      <c r="J66" t="s">
        <v>19</v>
      </c>
      <c r="K66" t="s">
        <v>20</v>
      </c>
      <c r="L66" t="s">
        <v>20</v>
      </c>
      <c r="M66" t="s">
        <v>29</v>
      </c>
    </row>
    <row r="67" spans="1:13" x14ac:dyDescent="0.35">
      <c r="A67">
        <v>1066</v>
      </c>
      <c r="B67" s="2">
        <v>46088</v>
      </c>
      <c r="C67" t="s">
        <v>51</v>
      </c>
      <c r="D67" t="s">
        <v>191</v>
      </c>
      <c r="E67" t="s">
        <v>112</v>
      </c>
      <c r="F67" t="s">
        <v>38</v>
      </c>
      <c r="G67" t="s">
        <v>17</v>
      </c>
      <c r="H67" t="s">
        <v>18</v>
      </c>
      <c r="I67">
        <v>93.73</v>
      </c>
      <c r="J67" t="s">
        <v>19</v>
      </c>
      <c r="K67" t="s">
        <v>20</v>
      </c>
      <c r="L67" s="3" t="s">
        <v>21</v>
      </c>
      <c r="M67" t="s">
        <v>29</v>
      </c>
    </row>
    <row r="68" spans="1:13" x14ac:dyDescent="0.35">
      <c r="A68">
        <v>1067</v>
      </c>
      <c r="B68" s="2">
        <v>46089</v>
      </c>
      <c r="C68" t="s">
        <v>30</v>
      </c>
      <c r="D68" t="s">
        <v>191</v>
      </c>
      <c r="E68" t="s">
        <v>113</v>
      </c>
      <c r="F68" t="s">
        <v>38</v>
      </c>
      <c r="G68" t="s">
        <v>56</v>
      </c>
      <c r="H68" t="s">
        <v>57</v>
      </c>
      <c r="I68">
        <v>87.11</v>
      </c>
      <c r="J68" t="s">
        <v>19</v>
      </c>
      <c r="K68" t="s">
        <v>20</v>
      </c>
      <c r="L68" t="s">
        <v>20</v>
      </c>
      <c r="M68" t="s">
        <v>22</v>
      </c>
    </row>
    <row r="69" spans="1:13" x14ac:dyDescent="0.35">
      <c r="A69">
        <v>1068</v>
      </c>
      <c r="B69" s="2">
        <v>46090</v>
      </c>
      <c r="C69" t="s">
        <v>13</v>
      </c>
      <c r="D69" t="s">
        <v>14</v>
      </c>
      <c r="E69" t="s">
        <v>114</v>
      </c>
      <c r="F69" t="s">
        <v>16</v>
      </c>
      <c r="G69" t="s">
        <v>17</v>
      </c>
      <c r="H69" t="s">
        <v>18</v>
      </c>
      <c r="I69">
        <v>223.66</v>
      </c>
      <c r="J69" t="s">
        <v>19</v>
      </c>
      <c r="K69" t="s">
        <v>20</v>
      </c>
      <c r="L69" t="s">
        <v>20</v>
      </c>
      <c r="M69" t="s">
        <v>36</v>
      </c>
    </row>
    <row r="70" spans="1:13" x14ac:dyDescent="0.35">
      <c r="A70">
        <v>1069</v>
      </c>
      <c r="B70" s="2">
        <v>46091</v>
      </c>
      <c r="C70" t="s">
        <v>30</v>
      </c>
      <c r="D70" t="s">
        <v>191</v>
      </c>
      <c r="E70" t="s">
        <v>115</v>
      </c>
      <c r="F70" t="s">
        <v>26</v>
      </c>
      <c r="G70" t="s">
        <v>46</v>
      </c>
      <c r="H70" t="s">
        <v>47</v>
      </c>
      <c r="I70" s="4">
        <v>650</v>
      </c>
      <c r="J70" t="s">
        <v>19</v>
      </c>
      <c r="K70" t="s">
        <v>20</v>
      </c>
      <c r="L70" t="s">
        <v>20</v>
      </c>
      <c r="M70" t="s">
        <v>22</v>
      </c>
    </row>
    <row r="71" spans="1:13" x14ac:dyDescent="0.35">
      <c r="A71">
        <v>1070</v>
      </c>
      <c r="B71" s="2">
        <v>46092</v>
      </c>
      <c r="C71" t="s">
        <v>34</v>
      </c>
      <c r="D71" t="s">
        <v>14</v>
      </c>
      <c r="E71" t="s">
        <v>116</v>
      </c>
      <c r="F71" t="s">
        <v>16</v>
      </c>
      <c r="G71" t="s">
        <v>42</v>
      </c>
      <c r="H71" t="s">
        <v>43</v>
      </c>
      <c r="I71">
        <v>0</v>
      </c>
      <c r="J71" t="s">
        <v>19</v>
      </c>
      <c r="K71" t="s">
        <v>20</v>
      </c>
      <c r="L71" t="s">
        <v>20</v>
      </c>
      <c r="M71" t="s">
        <v>29</v>
      </c>
    </row>
    <row r="72" spans="1:13" x14ac:dyDescent="0.35">
      <c r="A72">
        <v>1071</v>
      </c>
      <c r="B72" s="2">
        <v>46093</v>
      </c>
      <c r="C72" t="s">
        <v>34</v>
      </c>
      <c r="D72" t="s">
        <v>14</v>
      </c>
      <c r="E72" t="s">
        <v>117</v>
      </c>
      <c r="F72" t="s">
        <v>26</v>
      </c>
      <c r="G72" t="s">
        <v>53</v>
      </c>
      <c r="H72" t="s">
        <v>54</v>
      </c>
      <c r="I72">
        <v>125.33</v>
      </c>
      <c r="J72" t="s">
        <v>19</v>
      </c>
      <c r="K72" t="s">
        <v>21</v>
      </c>
      <c r="L72" t="s">
        <v>20</v>
      </c>
      <c r="M72" t="s">
        <v>36</v>
      </c>
    </row>
    <row r="73" spans="1:13" x14ac:dyDescent="0.35">
      <c r="A73">
        <v>1072</v>
      </c>
      <c r="B73" s="2">
        <v>46094</v>
      </c>
      <c r="C73" t="s">
        <v>23</v>
      </c>
      <c r="D73" t="s">
        <v>24</v>
      </c>
      <c r="E73" t="s">
        <v>118</v>
      </c>
      <c r="F73" t="s">
        <v>38</v>
      </c>
      <c r="G73" t="s">
        <v>49</v>
      </c>
      <c r="H73" t="s">
        <v>50</v>
      </c>
      <c r="I73">
        <v>108.56</v>
      </c>
      <c r="J73" t="s">
        <v>19</v>
      </c>
      <c r="K73" t="s">
        <v>21</v>
      </c>
      <c r="L73" t="s">
        <v>20</v>
      </c>
      <c r="M73" t="s">
        <v>29</v>
      </c>
    </row>
    <row r="74" spans="1:13" x14ac:dyDescent="0.35">
      <c r="A74">
        <v>1073</v>
      </c>
      <c r="B74" s="2">
        <v>46095</v>
      </c>
      <c r="C74" t="s">
        <v>51</v>
      </c>
      <c r="D74" t="s">
        <v>191</v>
      </c>
      <c r="E74" t="s">
        <v>119</v>
      </c>
      <c r="F74" t="s">
        <v>16</v>
      </c>
      <c r="G74" t="s">
        <v>32</v>
      </c>
      <c r="H74" t="s">
        <v>33</v>
      </c>
      <c r="I74">
        <v>284</v>
      </c>
      <c r="J74" t="s">
        <v>19</v>
      </c>
      <c r="K74" t="s">
        <v>20</v>
      </c>
      <c r="L74" t="s">
        <v>20</v>
      </c>
      <c r="M74" t="s">
        <v>22</v>
      </c>
    </row>
    <row r="75" spans="1:13" x14ac:dyDescent="0.35">
      <c r="A75">
        <v>1074</v>
      </c>
      <c r="B75" s="2">
        <v>46096</v>
      </c>
      <c r="C75" t="s">
        <v>51</v>
      </c>
      <c r="D75" t="s">
        <v>191</v>
      </c>
      <c r="E75" t="s">
        <v>120</v>
      </c>
      <c r="F75" t="s">
        <v>38</v>
      </c>
      <c r="G75" t="s">
        <v>56</v>
      </c>
      <c r="H75" t="s">
        <v>57</v>
      </c>
      <c r="I75">
        <v>14.55</v>
      </c>
      <c r="J75" t="s">
        <v>19</v>
      </c>
      <c r="K75" t="s">
        <v>21</v>
      </c>
      <c r="L75" t="s">
        <v>20</v>
      </c>
      <c r="M75" t="s">
        <v>36</v>
      </c>
    </row>
    <row r="76" spans="1:13" x14ac:dyDescent="0.35">
      <c r="A76">
        <v>1075</v>
      </c>
      <c r="B76" s="2">
        <v>46097</v>
      </c>
      <c r="C76" t="s">
        <v>51</v>
      </c>
      <c r="D76" t="s">
        <v>191</v>
      </c>
      <c r="E76" t="s">
        <v>121</v>
      </c>
      <c r="F76" t="s">
        <v>16</v>
      </c>
      <c r="G76" t="s">
        <v>56</v>
      </c>
      <c r="H76" t="s">
        <v>57</v>
      </c>
      <c r="I76">
        <v>42.81</v>
      </c>
      <c r="J76" t="s">
        <v>19</v>
      </c>
      <c r="K76" t="s">
        <v>20</v>
      </c>
      <c r="L76" t="s">
        <v>20</v>
      </c>
      <c r="M76" t="s">
        <v>29</v>
      </c>
    </row>
    <row r="77" spans="1:13" x14ac:dyDescent="0.35">
      <c r="A77">
        <v>1076</v>
      </c>
      <c r="B77" s="2">
        <v>46098</v>
      </c>
      <c r="C77" t="s">
        <v>51</v>
      </c>
      <c r="D77" t="s">
        <v>191</v>
      </c>
      <c r="E77" t="s">
        <v>122</v>
      </c>
      <c r="F77" t="s">
        <v>38</v>
      </c>
      <c r="G77" t="s">
        <v>46</v>
      </c>
      <c r="H77" t="s">
        <v>47</v>
      </c>
      <c r="I77">
        <v>293.3</v>
      </c>
      <c r="J77" t="s">
        <v>19</v>
      </c>
      <c r="K77" t="s">
        <v>20</v>
      </c>
      <c r="L77" t="s">
        <v>20</v>
      </c>
      <c r="M77" t="s">
        <v>22</v>
      </c>
    </row>
    <row r="78" spans="1:13" x14ac:dyDescent="0.35">
      <c r="A78">
        <v>1077</v>
      </c>
      <c r="B78" s="2">
        <v>46099</v>
      </c>
      <c r="C78" t="s">
        <v>13</v>
      </c>
      <c r="D78" t="s">
        <v>14</v>
      </c>
      <c r="E78" t="s">
        <v>123</v>
      </c>
      <c r="F78" t="s">
        <v>38</v>
      </c>
      <c r="G78" t="s">
        <v>32</v>
      </c>
      <c r="H78" t="s">
        <v>33</v>
      </c>
      <c r="I78">
        <v>247.94</v>
      </c>
      <c r="J78" t="s">
        <v>19</v>
      </c>
      <c r="K78" t="s">
        <v>21</v>
      </c>
      <c r="L78" t="s">
        <v>20</v>
      </c>
      <c r="M78" t="s">
        <v>29</v>
      </c>
    </row>
    <row r="79" spans="1:13" x14ac:dyDescent="0.35">
      <c r="A79">
        <v>1078</v>
      </c>
      <c r="B79" s="2">
        <v>46100</v>
      </c>
      <c r="C79" t="s">
        <v>13</v>
      </c>
      <c r="D79" t="s">
        <v>14</v>
      </c>
      <c r="E79" t="s">
        <v>124</v>
      </c>
      <c r="F79" t="s">
        <v>40</v>
      </c>
      <c r="G79" t="s">
        <v>42</v>
      </c>
      <c r="H79" t="s">
        <v>43</v>
      </c>
      <c r="I79">
        <v>256.08</v>
      </c>
      <c r="J79" t="s">
        <v>19</v>
      </c>
      <c r="K79" t="s">
        <v>20</v>
      </c>
      <c r="L79" t="s">
        <v>20</v>
      </c>
      <c r="M79" t="s">
        <v>36</v>
      </c>
    </row>
    <row r="80" spans="1:13" x14ac:dyDescent="0.35">
      <c r="A80">
        <v>1079</v>
      </c>
      <c r="B80" s="2">
        <v>46101</v>
      </c>
      <c r="C80" t="s">
        <v>51</v>
      </c>
      <c r="D80" t="s">
        <v>191</v>
      </c>
      <c r="E80" t="s">
        <v>125</v>
      </c>
      <c r="F80" t="s">
        <v>61</v>
      </c>
      <c r="G80" t="s">
        <v>56</v>
      </c>
      <c r="H80" t="s">
        <v>57</v>
      </c>
      <c r="I80">
        <v>213.82</v>
      </c>
      <c r="J80" t="s">
        <v>19</v>
      </c>
      <c r="K80" t="s">
        <v>20</v>
      </c>
      <c r="L80" s="3" t="s">
        <v>21</v>
      </c>
      <c r="M80" t="s">
        <v>36</v>
      </c>
    </row>
    <row r="81" spans="1:13" x14ac:dyDescent="0.35">
      <c r="A81">
        <v>1080</v>
      </c>
      <c r="B81" s="2">
        <v>46102</v>
      </c>
      <c r="C81" t="s">
        <v>51</v>
      </c>
      <c r="D81" t="s">
        <v>191</v>
      </c>
      <c r="E81" t="s">
        <v>126</v>
      </c>
      <c r="F81" t="s">
        <v>26</v>
      </c>
      <c r="G81" t="s">
        <v>17</v>
      </c>
      <c r="H81" t="s">
        <v>18</v>
      </c>
      <c r="I81">
        <v>293.74</v>
      </c>
      <c r="J81" t="s">
        <v>19</v>
      </c>
      <c r="K81" t="s">
        <v>21</v>
      </c>
      <c r="L81" t="s">
        <v>20</v>
      </c>
      <c r="M81" t="s">
        <v>36</v>
      </c>
    </row>
    <row r="82" spans="1:13" x14ac:dyDescent="0.35">
      <c r="A82">
        <v>1081</v>
      </c>
      <c r="B82" s="2">
        <v>46103</v>
      </c>
      <c r="C82" t="s">
        <v>23</v>
      </c>
      <c r="D82" t="s">
        <v>24</v>
      </c>
      <c r="E82" t="s">
        <v>127</v>
      </c>
      <c r="F82" t="s">
        <v>40</v>
      </c>
      <c r="G82" t="s">
        <v>42</v>
      </c>
      <c r="H82" t="s">
        <v>43</v>
      </c>
      <c r="I82">
        <v>107.88</v>
      </c>
      <c r="J82" t="s">
        <v>19</v>
      </c>
      <c r="K82" t="s">
        <v>21</v>
      </c>
      <c r="L82" t="s">
        <v>20</v>
      </c>
      <c r="M82" t="s">
        <v>36</v>
      </c>
    </row>
    <row r="83" spans="1:13" x14ac:dyDescent="0.35">
      <c r="A83">
        <v>1082</v>
      </c>
      <c r="B83" s="2">
        <v>46104</v>
      </c>
      <c r="C83" t="s">
        <v>34</v>
      </c>
      <c r="D83" t="s">
        <v>14</v>
      </c>
      <c r="E83" t="s">
        <v>128</v>
      </c>
      <c r="F83" t="s">
        <v>38</v>
      </c>
      <c r="G83" t="s">
        <v>49</v>
      </c>
      <c r="H83" t="s">
        <v>50</v>
      </c>
      <c r="I83">
        <v>251</v>
      </c>
      <c r="J83" t="s">
        <v>19</v>
      </c>
      <c r="K83" t="s">
        <v>21</v>
      </c>
      <c r="L83" t="s">
        <v>20</v>
      </c>
      <c r="M83" t="s">
        <v>29</v>
      </c>
    </row>
    <row r="84" spans="1:13" x14ac:dyDescent="0.35">
      <c r="A84">
        <v>1083</v>
      </c>
      <c r="B84" s="2">
        <v>46105</v>
      </c>
      <c r="C84" t="s">
        <v>34</v>
      </c>
      <c r="D84" t="s">
        <v>14</v>
      </c>
      <c r="E84" t="s">
        <v>129</v>
      </c>
      <c r="F84" t="s">
        <v>61</v>
      </c>
      <c r="G84" t="s">
        <v>27</v>
      </c>
      <c r="H84" t="s">
        <v>28</v>
      </c>
      <c r="I84">
        <v>95.65</v>
      </c>
      <c r="J84" t="s">
        <v>19</v>
      </c>
      <c r="K84" t="s">
        <v>20</v>
      </c>
      <c r="L84" t="s">
        <v>20</v>
      </c>
      <c r="M84" t="s">
        <v>29</v>
      </c>
    </row>
    <row r="85" spans="1:13" x14ac:dyDescent="0.35">
      <c r="A85">
        <v>1084</v>
      </c>
      <c r="B85" s="2">
        <v>46106</v>
      </c>
      <c r="C85" t="s">
        <v>51</v>
      </c>
      <c r="D85" t="s">
        <v>191</v>
      </c>
      <c r="E85" t="s">
        <v>130</v>
      </c>
      <c r="F85" t="s">
        <v>40</v>
      </c>
      <c r="G85" t="s">
        <v>49</v>
      </c>
      <c r="H85" t="s">
        <v>50</v>
      </c>
      <c r="I85">
        <v>125.09</v>
      </c>
      <c r="J85" t="s">
        <v>19</v>
      </c>
      <c r="K85" t="s">
        <v>20</v>
      </c>
      <c r="L85" t="s">
        <v>20</v>
      </c>
      <c r="M85" t="s">
        <v>22</v>
      </c>
    </row>
    <row r="86" spans="1:13" x14ac:dyDescent="0.35">
      <c r="A86">
        <v>1085</v>
      </c>
      <c r="B86" s="2">
        <v>46107</v>
      </c>
      <c r="C86" t="s">
        <v>34</v>
      </c>
      <c r="D86" t="s">
        <v>14</v>
      </c>
      <c r="E86" t="s">
        <v>131</v>
      </c>
      <c r="F86" t="s">
        <v>38</v>
      </c>
      <c r="G86" t="s">
        <v>53</v>
      </c>
      <c r="H86" t="s">
        <v>54</v>
      </c>
      <c r="I86">
        <v>159.47999999999999</v>
      </c>
      <c r="J86" t="s">
        <v>19</v>
      </c>
      <c r="K86" t="s">
        <v>21</v>
      </c>
      <c r="L86" t="s">
        <v>20</v>
      </c>
      <c r="M86" t="s">
        <v>29</v>
      </c>
    </row>
    <row r="87" spans="1:13" x14ac:dyDescent="0.35">
      <c r="A87">
        <v>1086</v>
      </c>
      <c r="B87" s="2">
        <v>46108</v>
      </c>
      <c r="C87" t="s">
        <v>30</v>
      </c>
      <c r="D87" t="s">
        <v>191</v>
      </c>
      <c r="E87" t="s">
        <v>132</v>
      </c>
      <c r="F87" t="s">
        <v>38</v>
      </c>
      <c r="G87" t="s">
        <v>49</v>
      </c>
      <c r="H87" t="s">
        <v>50</v>
      </c>
      <c r="I87" s="4">
        <v>650</v>
      </c>
      <c r="J87" t="s">
        <v>19</v>
      </c>
      <c r="K87" t="s">
        <v>21</v>
      </c>
      <c r="L87" t="s">
        <v>20</v>
      </c>
      <c r="M87" t="s">
        <v>22</v>
      </c>
    </row>
    <row r="88" spans="1:13" x14ac:dyDescent="0.35">
      <c r="A88">
        <v>1087</v>
      </c>
      <c r="B88" s="2">
        <v>46109</v>
      </c>
      <c r="C88" t="s">
        <v>13</v>
      </c>
      <c r="D88" t="s">
        <v>14</v>
      </c>
      <c r="E88" t="s">
        <v>133</v>
      </c>
      <c r="F88" t="s">
        <v>40</v>
      </c>
      <c r="G88" t="s">
        <v>27</v>
      </c>
      <c r="H88" t="s">
        <v>28</v>
      </c>
      <c r="I88">
        <v>310.48</v>
      </c>
      <c r="J88" t="s">
        <v>19</v>
      </c>
      <c r="K88" t="s">
        <v>21</v>
      </c>
      <c r="L88" t="s">
        <v>20</v>
      </c>
      <c r="M88" t="s">
        <v>29</v>
      </c>
    </row>
    <row r="89" spans="1:13" x14ac:dyDescent="0.35">
      <c r="A89">
        <v>1088</v>
      </c>
      <c r="B89" s="2">
        <v>46110</v>
      </c>
      <c r="C89" t="s">
        <v>34</v>
      </c>
      <c r="D89" t="s">
        <v>14</v>
      </c>
      <c r="E89" t="s">
        <v>134</v>
      </c>
      <c r="F89" t="s">
        <v>38</v>
      </c>
      <c r="G89" t="s">
        <v>53</v>
      </c>
      <c r="H89" t="s">
        <v>54</v>
      </c>
      <c r="I89">
        <v>185.35</v>
      </c>
      <c r="J89" t="s">
        <v>19</v>
      </c>
      <c r="K89" t="s">
        <v>21</v>
      </c>
      <c r="L89" t="s">
        <v>20</v>
      </c>
      <c r="M89" t="s">
        <v>29</v>
      </c>
    </row>
    <row r="90" spans="1:13" x14ac:dyDescent="0.35">
      <c r="A90">
        <v>1089</v>
      </c>
      <c r="B90" s="2">
        <v>46111</v>
      </c>
      <c r="C90" t="s">
        <v>34</v>
      </c>
      <c r="D90" t="s">
        <v>14</v>
      </c>
      <c r="E90" t="s">
        <v>135</v>
      </c>
      <c r="F90" t="s">
        <v>61</v>
      </c>
      <c r="G90" t="s">
        <v>53</v>
      </c>
      <c r="H90" t="s">
        <v>54</v>
      </c>
      <c r="I90">
        <v>55.81</v>
      </c>
      <c r="J90" t="s">
        <v>19</v>
      </c>
      <c r="K90" t="s">
        <v>21</v>
      </c>
      <c r="L90" t="s">
        <v>20</v>
      </c>
      <c r="M90" t="s">
        <v>29</v>
      </c>
    </row>
    <row r="91" spans="1:13" x14ac:dyDescent="0.35">
      <c r="A91">
        <v>1090</v>
      </c>
      <c r="B91" s="2">
        <v>46112</v>
      </c>
      <c r="C91" t="s">
        <v>23</v>
      </c>
      <c r="D91" t="s">
        <v>24</v>
      </c>
      <c r="E91" t="s">
        <v>136</v>
      </c>
      <c r="F91" t="s">
        <v>26</v>
      </c>
      <c r="G91" t="s">
        <v>42</v>
      </c>
      <c r="H91" t="s">
        <v>43</v>
      </c>
      <c r="I91">
        <v>214.45</v>
      </c>
      <c r="J91" t="s">
        <v>19</v>
      </c>
      <c r="K91" t="s">
        <v>21</v>
      </c>
      <c r="L91" t="s">
        <v>20</v>
      </c>
      <c r="M91" t="s">
        <v>36</v>
      </c>
    </row>
    <row r="92" spans="1:13" x14ac:dyDescent="0.35">
      <c r="A92">
        <v>1091</v>
      </c>
      <c r="B92" s="2">
        <v>46113</v>
      </c>
      <c r="C92" t="s">
        <v>30</v>
      </c>
      <c r="D92" t="s">
        <v>191</v>
      </c>
      <c r="E92" t="s">
        <v>137</v>
      </c>
      <c r="F92" t="s">
        <v>61</v>
      </c>
      <c r="G92" t="s">
        <v>46</v>
      </c>
      <c r="H92" t="s">
        <v>47</v>
      </c>
      <c r="I92">
        <v>90.76</v>
      </c>
      <c r="J92" t="s">
        <v>19</v>
      </c>
      <c r="K92" t="s">
        <v>21</v>
      </c>
      <c r="L92" t="s">
        <v>20</v>
      </c>
      <c r="M92" t="s">
        <v>29</v>
      </c>
    </row>
    <row r="93" spans="1:13" x14ac:dyDescent="0.35">
      <c r="A93">
        <v>1092</v>
      </c>
      <c r="B93" s="2">
        <v>46114</v>
      </c>
      <c r="C93" t="s">
        <v>34</v>
      </c>
      <c r="D93" t="s">
        <v>14</v>
      </c>
      <c r="E93" t="s">
        <v>138</v>
      </c>
      <c r="F93" t="s">
        <v>26</v>
      </c>
      <c r="G93" t="s">
        <v>27</v>
      </c>
      <c r="H93" t="s">
        <v>28</v>
      </c>
      <c r="I93">
        <v>115.76</v>
      </c>
      <c r="J93" t="s">
        <v>19</v>
      </c>
      <c r="K93" t="s">
        <v>21</v>
      </c>
      <c r="L93" s="3" t="s">
        <v>21</v>
      </c>
      <c r="M93" t="s">
        <v>36</v>
      </c>
    </row>
    <row r="94" spans="1:13" x14ac:dyDescent="0.35">
      <c r="A94">
        <v>1093</v>
      </c>
      <c r="B94" s="2">
        <v>46115</v>
      </c>
      <c r="C94" t="s">
        <v>51</v>
      </c>
      <c r="D94" t="s">
        <v>191</v>
      </c>
      <c r="E94" t="s">
        <v>139</v>
      </c>
      <c r="F94" t="s">
        <v>16</v>
      </c>
      <c r="G94" t="s">
        <v>32</v>
      </c>
      <c r="H94" t="s">
        <v>33</v>
      </c>
      <c r="I94">
        <v>0</v>
      </c>
      <c r="J94" t="s">
        <v>19</v>
      </c>
      <c r="K94" t="s">
        <v>21</v>
      </c>
      <c r="L94" t="s">
        <v>20</v>
      </c>
      <c r="M94" t="s">
        <v>36</v>
      </c>
    </row>
    <row r="95" spans="1:13" x14ac:dyDescent="0.35">
      <c r="A95">
        <v>1094</v>
      </c>
      <c r="B95" s="2">
        <v>46116</v>
      </c>
      <c r="C95" t="s">
        <v>23</v>
      </c>
      <c r="D95" t="s">
        <v>24</v>
      </c>
      <c r="E95" t="s">
        <v>140</v>
      </c>
      <c r="F95" t="s">
        <v>38</v>
      </c>
      <c r="G95" t="s">
        <v>42</v>
      </c>
      <c r="H95" t="s">
        <v>43</v>
      </c>
      <c r="I95">
        <v>171.2</v>
      </c>
      <c r="J95" t="s">
        <v>19</v>
      </c>
      <c r="K95" t="s">
        <v>20</v>
      </c>
      <c r="L95" t="s">
        <v>20</v>
      </c>
      <c r="M95" t="s">
        <v>22</v>
      </c>
    </row>
    <row r="96" spans="1:13" x14ac:dyDescent="0.35">
      <c r="A96">
        <v>1095</v>
      </c>
      <c r="B96" s="2">
        <v>46117</v>
      </c>
      <c r="C96" t="s">
        <v>34</v>
      </c>
      <c r="D96" t="s">
        <v>14</v>
      </c>
      <c r="E96" t="s">
        <v>141</v>
      </c>
      <c r="F96" t="s">
        <v>38</v>
      </c>
      <c r="G96" t="s">
        <v>49</v>
      </c>
      <c r="H96" t="s">
        <v>50</v>
      </c>
      <c r="I96">
        <v>71.099999999999994</v>
      </c>
      <c r="J96" t="s">
        <v>19</v>
      </c>
      <c r="K96" t="s">
        <v>21</v>
      </c>
      <c r="L96" t="s">
        <v>20</v>
      </c>
      <c r="M96" t="s">
        <v>22</v>
      </c>
    </row>
    <row r="97" spans="1:13" x14ac:dyDescent="0.35">
      <c r="A97">
        <v>1096</v>
      </c>
      <c r="B97" s="2">
        <v>46118</v>
      </c>
      <c r="C97" t="s">
        <v>30</v>
      </c>
      <c r="D97" t="s">
        <v>191</v>
      </c>
      <c r="E97" t="s">
        <v>142</v>
      </c>
      <c r="F97" t="s">
        <v>61</v>
      </c>
      <c r="G97" t="s">
        <v>53</v>
      </c>
      <c r="H97" t="s">
        <v>54</v>
      </c>
      <c r="I97">
        <v>270.77</v>
      </c>
      <c r="J97" t="s">
        <v>19</v>
      </c>
      <c r="K97" t="s">
        <v>21</v>
      </c>
      <c r="L97" t="s">
        <v>20</v>
      </c>
      <c r="M97" t="s">
        <v>22</v>
      </c>
    </row>
    <row r="98" spans="1:13" x14ac:dyDescent="0.35">
      <c r="A98">
        <v>1097</v>
      </c>
      <c r="B98" s="2">
        <v>46119</v>
      </c>
      <c r="C98" t="s">
        <v>30</v>
      </c>
      <c r="D98" t="s">
        <v>191</v>
      </c>
      <c r="E98" t="s">
        <v>134</v>
      </c>
      <c r="F98" t="s">
        <v>40</v>
      </c>
      <c r="G98" t="s">
        <v>17</v>
      </c>
      <c r="H98" t="s">
        <v>18</v>
      </c>
      <c r="I98">
        <v>227.31</v>
      </c>
      <c r="J98" t="s">
        <v>19</v>
      </c>
      <c r="K98" t="s">
        <v>20</v>
      </c>
      <c r="L98" t="s">
        <v>20</v>
      </c>
      <c r="M98" t="s">
        <v>29</v>
      </c>
    </row>
    <row r="99" spans="1:13" x14ac:dyDescent="0.35">
      <c r="A99">
        <v>1098</v>
      </c>
      <c r="B99" s="2">
        <v>46120</v>
      </c>
      <c r="C99" t="s">
        <v>23</v>
      </c>
      <c r="D99" t="s">
        <v>24</v>
      </c>
      <c r="E99" t="s">
        <v>143</v>
      </c>
      <c r="F99" t="s">
        <v>26</v>
      </c>
      <c r="G99" t="s">
        <v>49</v>
      </c>
      <c r="H99" t="s">
        <v>50</v>
      </c>
      <c r="I99">
        <v>131.96</v>
      </c>
      <c r="J99" t="s">
        <v>19</v>
      </c>
      <c r="K99" t="s">
        <v>21</v>
      </c>
      <c r="L99" t="s">
        <v>20</v>
      </c>
      <c r="M99" t="s">
        <v>22</v>
      </c>
    </row>
    <row r="100" spans="1:13" x14ac:dyDescent="0.35">
      <c r="A100">
        <v>1099</v>
      </c>
      <c r="B100" s="2">
        <v>46121</v>
      </c>
      <c r="C100" t="s">
        <v>23</v>
      </c>
      <c r="D100" t="s">
        <v>24</v>
      </c>
      <c r="E100" t="s">
        <v>144</v>
      </c>
      <c r="F100" t="s">
        <v>16</v>
      </c>
      <c r="G100" t="s">
        <v>53</v>
      </c>
      <c r="H100" t="s">
        <v>54</v>
      </c>
      <c r="I100">
        <v>300.39999999999998</v>
      </c>
      <c r="J100" t="s">
        <v>19</v>
      </c>
      <c r="K100" t="s">
        <v>20</v>
      </c>
      <c r="L100" t="s">
        <v>20</v>
      </c>
      <c r="M100" t="s">
        <v>36</v>
      </c>
    </row>
    <row r="101" spans="1:13" x14ac:dyDescent="0.35">
      <c r="A101">
        <v>1100</v>
      </c>
      <c r="B101" s="2">
        <v>46122</v>
      </c>
      <c r="C101" t="s">
        <v>13</v>
      </c>
      <c r="D101" t="s">
        <v>14</v>
      </c>
      <c r="E101" t="s">
        <v>145</v>
      </c>
      <c r="F101" t="s">
        <v>16</v>
      </c>
      <c r="G101" t="s">
        <v>46</v>
      </c>
      <c r="H101" t="s">
        <v>47</v>
      </c>
      <c r="I101">
        <v>108.61</v>
      </c>
      <c r="J101" t="s">
        <v>19</v>
      </c>
      <c r="K101" t="s">
        <v>21</v>
      </c>
      <c r="L101" t="s">
        <v>20</v>
      </c>
      <c r="M101" t="s">
        <v>29</v>
      </c>
    </row>
    <row r="102" spans="1:13" x14ac:dyDescent="0.35">
      <c r="A102">
        <v>1101</v>
      </c>
      <c r="B102" s="2">
        <v>46123</v>
      </c>
      <c r="C102" t="s">
        <v>13</v>
      </c>
      <c r="D102" t="s">
        <v>14</v>
      </c>
      <c r="E102" t="s">
        <v>146</v>
      </c>
      <c r="F102" t="s">
        <v>16</v>
      </c>
      <c r="G102" t="s">
        <v>27</v>
      </c>
      <c r="H102" t="s">
        <v>28</v>
      </c>
      <c r="I102">
        <v>144.76</v>
      </c>
      <c r="J102" t="s">
        <v>19</v>
      </c>
      <c r="K102" t="s">
        <v>21</v>
      </c>
      <c r="L102" t="s">
        <v>20</v>
      </c>
      <c r="M102" t="s">
        <v>29</v>
      </c>
    </row>
    <row r="103" spans="1:13" x14ac:dyDescent="0.35">
      <c r="A103">
        <v>1102</v>
      </c>
      <c r="B103" s="2">
        <v>46124</v>
      </c>
      <c r="C103" t="s">
        <v>34</v>
      </c>
      <c r="D103" t="s">
        <v>14</v>
      </c>
      <c r="E103" t="s">
        <v>147</v>
      </c>
      <c r="F103" t="s">
        <v>61</v>
      </c>
      <c r="G103" t="s">
        <v>49</v>
      </c>
      <c r="H103" t="s">
        <v>50</v>
      </c>
      <c r="I103">
        <v>27.46</v>
      </c>
      <c r="J103" t="s">
        <v>19</v>
      </c>
      <c r="K103" t="s">
        <v>20</v>
      </c>
      <c r="L103" t="s">
        <v>20</v>
      </c>
      <c r="M103" t="s">
        <v>29</v>
      </c>
    </row>
    <row r="104" spans="1:13" x14ac:dyDescent="0.35">
      <c r="A104">
        <v>1103</v>
      </c>
      <c r="B104" s="2">
        <v>46125</v>
      </c>
      <c r="C104" t="s">
        <v>13</v>
      </c>
      <c r="D104" t="s">
        <v>14</v>
      </c>
      <c r="E104" t="s">
        <v>148</v>
      </c>
      <c r="F104" t="s">
        <v>38</v>
      </c>
      <c r="G104" t="s">
        <v>56</v>
      </c>
      <c r="H104" t="s">
        <v>57</v>
      </c>
      <c r="I104" s="4">
        <v>650</v>
      </c>
      <c r="J104" t="s">
        <v>19</v>
      </c>
      <c r="K104" t="s">
        <v>21</v>
      </c>
      <c r="L104" t="s">
        <v>20</v>
      </c>
      <c r="M104" t="s">
        <v>29</v>
      </c>
    </row>
    <row r="105" spans="1:13" x14ac:dyDescent="0.35">
      <c r="A105">
        <v>1104</v>
      </c>
      <c r="B105" s="2">
        <v>46126</v>
      </c>
      <c r="C105" t="s">
        <v>51</v>
      </c>
      <c r="D105" t="s">
        <v>191</v>
      </c>
      <c r="E105" t="s">
        <v>149</v>
      </c>
      <c r="F105" t="s">
        <v>16</v>
      </c>
      <c r="G105" t="s">
        <v>49</v>
      </c>
      <c r="H105" t="s">
        <v>50</v>
      </c>
      <c r="I105">
        <v>154.41</v>
      </c>
      <c r="J105" t="s">
        <v>19</v>
      </c>
      <c r="K105" t="s">
        <v>21</v>
      </c>
      <c r="L105" t="s">
        <v>20</v>
      </c>
      <c r="M105" t="s">
        <v>29</v>
      </c>
    </row>
    <row r="106" spans="1:13" x14ac:dyDescent="0.35">
      <c r="A106">
        <v>1105</v>
      </c>
      <c r="B106" s="2">
        <v>46127</v>
      </c>
      <c r="C106" t="s">
        <v>30</v>
      </c>
      <c r="D106" t="s">
        <v>191</v>
      </c>
      <c r="E106" t="s">
        <v>150</v>
      </c>
      <c r="F106" t="s">
        <v>40</v>
      </c>
      <c r="G106" t="s">
        <v>42</v>
      </c>
      <c r="H106" t="s">
        <v>43</v>
      </c>
      <c r="I106">
        <v>306.66000000000003</v>
      </c>
      <c r="J106" t="s">
        <v>19</v>
      </c>
      <c r="K106" t="s">
        <v>21</v>
      </c>
      <c r="L106" s="3" t="s">
        <v>21</v>
      </c>
      <c r="M106" t="s">
        <v>29</v>
      </c>
    </row>
    <row r="107" spans="1:13" x14ac:dyDescent="0.35">
      <c r="A107">
        <v>1106</v>
      </c>
      <c r="B107" s="2">
        <v>46128</v>
      </c>
      <c r="C107" t="s">
        <v>13</v>
      </c>
      <c r="D107" t="s">
        <v>14</v>
      </c>
      <c r="E107" t="s">
        <v>151</v>
      </c>
      <c r="F107" t="s">
        <v>61</v>
      </c>
      <c r="G107" t="s">
        <v>49</v>
      </c>
      <c r="H107" t="s">
        <v>50</v>
      </c>
      <c r="I107">
        <v>226.75</v>
      </c>
      <c r="J107" t="s">
        <v>19</v>
      </c>
      <c r="K107" t="s">
        <v>20</v>
      </c>
      <c r="L107" t="s">
        <v>20</v>
      </c>
      <c r="M107" t="s">
        <v>22</v>
      </c>
    </row>
    <row r="108" spans="1:13" x14ac:dyDescent="0.35">
      <c r="A108">
        <v>1107</v>
      </c>
      <c r="B108" s="2">
        <v>46129</v>
      </c>
      <c r="C108" t="s">
        <v>23</v>
      </c>
      <c r="D108" t="s">
        <v>24</v>
      </c>
      <c r="E108" t="s">
        <v>152</v>
      </c>
      <c r="F108" t="s">
        <v>40</v>
      </c>
      <c r="G108" t="s">
        <v>49</v>
      </c>
      <c r="H108" t="s">
        <v>50</v>
      </c>
      <c r="I108">
        <v>285.38</v>
      </c>
      <c r="J108" t="s">
        <v>19</v>
      </c>
      <c r="K108" t="s">
        <v>21</v>
      </c>
      <c r="L108" t="s">
        <v>20</v>
      </c>
      <c r="M108" t="s">
        <v>22</v>
      </c>
    </row>
    <row r="109" spans="1:13" x14ac:dyDescent="0.35">
      <c r="A109">
        <v>1108</v>
      </c>
      <c r="B109" s="2">
        <v>46130</v>
      </c>
      <c r="C109" t="s">
        <v>13</v>
      </c>
      <c r="D109" t="s">
        <v>14</v>
      </c>
      <c r="E109" t="s">
        <v>153</v>
      </c>
      <c r="F109" t="s">
        <v>26</v>
      </c>
      <c r="G109" t="s">
        <v>56</v>
      </c>
      <c r="H109" t="s">
        <v>57</v>
      </c>
      <c r="I109">
        <v>15.62</v>
      </c>
      <c r="J109" t="s">
        <v>19</v>
      </c>
      <c r="K109" t="s">
        <v>20</v>
      </c>
      <c r="L109" t="s">
        <v>20</v>
      </c>
      <c r="M109" t="s">
        <v>36</v>
      </c>
    </row>
    <row r="110" spans="1:13" x14ac:dyDescent="0.35">
      <c r="A110">
        <v>1109</v>
      </c>
      <c r="B110" s="2">
        <v>46131</v>
      </c>
      <c r="C110" t="s">
        <v>30</v>
      </c>
      <c r="D110" t="s">
        <v>191</v>
      </c>
      <c r="E110" t="s">
        <v>154</v>
      </c>
      <c r="F110" t="s">
        <v>26</v>
      </c>
      <c r="G110" t="s">
        <v>17</v>
      </c>
      <c r="H110" t="s">
        <v>18</v>
      </c>
      <c r="I110">
        <v>43.57</v>
      </c>
      <c r="J110" t="s">
        <v>19</v>
      </c>
      <c r="K110" t="s">
        <v>21</v>
      </c>
      <c r="L110" t="s">
        <v>20</v>
      </c>
      <c r="M110" t="s">
        <v>22</v>
      </c>
    </row>
    <row r="111" spans="1:13" x14ac:dyDescent="0.35">
      <c r="A111">
        <v>1110</v>
      </c>
      <c r="B111" s="2">
        <v>46132</v>
      </c>
      <c r="C111" t="s">
        <v>30</v>
      </c>
      <c r="D111" t="s">
        <v>191</v>
      </c>
      <c r="E111" t="s">
        <v>155</v>
      </c>
      <c r="F111" t="s">
        <v>40</v>
      </c>
      <c r="G111" t="s">
        <v>32</v>
      </c>
      <c r="H111" t="s">
        <v>33</v>
      </c>
      <c r="I111">
        <v>33.869999999999997</v>
      </c>
      <c r="J111" t="s">
        <v>19</v>
      </c>
      <c r="K111" t="s">
        <v>20</v>
      </c>
      <c r="L111" t="s">
        <v>20</v>
      </c>
      <c r="M111" t="s">
        <v>36</v>
      </c>
    </row>
    <row r="112" spans="1:13" x14ac:dyDescent="0.35">
      <c r="A112">
        <v>1111</v>
      </c>
      <c r="B112" s="2">
        <v>46133</v>
      </c>
      <c r="C112" t="s">
        <v>34</v>
      </c>
      <c r="D112" t="s">
        <v>14</v>
      </c>
      <c r="E112" t="s">
        <v>156</v>
      </c>
      <c r="F112" t="s">
        <v>61</v>
      </c>
      <c r="G112" t="s">
        <v>17</v>
      </c>
      <c r="H112" t="s">
        <v>18</v>
      </c>
      <c r="I112">
        <v>178.93</v>
      </c>
      <c r="J112" t="s">
        <v>19</v>
      </c>
      <c r="K112" t="s">
        <v>21</v>
      </c>
      <c r="L112" t="s">
        <v>20</v>
      </c>
      <c r="M112" t="s">
        <v>22</v>
      </c>
    </row>
    <row r="113" spans="1:13" x14ac:dyDescent="0.35">
      <c r="A113">
        <v>1112</v>
      </c>
      <c r="B113" s="2">
        <v>46134</v>
      </c>
      <c r="C113" t="s">
        <v>13</v>
      </c>
      <c r="D113" t="s">
        <v>14</v>
      </c>
      <c r="E113" t="s">
        <v>157</v>
      </c>
      <c r="F113" t="s">
        <v>38</v>
      </c>
      <c r="G113" t="s">
        <v>46</v>
      </c>
      <c r="H113" t="s">
        <v>47</v>
      </c>
      <c r="I113">
        <v>35.68</v>
      </c>
      <c r="J113" t="s">
        <v>19</v>
      </c>
      <c r="K113" t="s">
        <v>20</v>
      </c>
      <c r="L113" t="s">
        <v>20</v>
      </c>
      <c r="M113" t="s">
        <v>36</v>
      </c>
    </row>
    <row r="114" spans="1:13" x14ac:dyDescent="0.35">
      <c r="A114">
        <v>1113</v>
      </c>
      <c r="B114" s="2">
        <v>46135</v>
      </c>
      <c r="C114" t="s">
        <v>34</v>
      </c>
      <c r="D114" t="s">
        <v>14</v>
      </c>
      <c r="E114" t="s">
        <v>158</v>
      </c>
      <c r="F114" t="s">
        <v>16</v>
      </c>
      <c r="G114" t="s">
        <v>42</v>
      </c>
      <c r="H114" t="s">
        <v>43</v>
      </c>
      <c r="I114">
        <v>252.03</v>
      </c>
      <c r="J114" t="s">
        <v>19</v>
      </c>
      <c r="K114" t="s">
        <v>20</v>
      </c>
      <c r="L114" t="s">
        <v>20</v>
      </c>
      <c r="M114" t="s">
        <v>36</v>
      </c>
    </row>
    <row r="115" spans="1:13" x14ac:dyDescent="0.35">
      <c r="A115">
        <v>1114</v>
      </c>
      <c r="B115" s="2">
        <v>46136</v>
      </c>
      <c r="C115" t="s">
        <v>30</v>
      </c>
      <c r="D115" t="s">
        <v>191</v>
      </c>
      <c r="E115" t="s">
        <v>159</v>
      </c>
      <c r="F115" t="s">
        <v>16</v>
      </c>
      <c r="G115" t="s">
        <v>42</v>
      </c>
      <c r="H115" t="s">
        <v>43</v>
      </c>
      <c r="I115">
        <v>30.07</v>
      </c>
      <c r="J115" t="s">
        <v>19</v>
      </c>
      <c r="K115" t="s">
        <v>21</v>
      </c>
      <c r="L115" t="s">
        <v>20</v>
      </c>
      <c r="M115" t="s">
        <v>29</v>
      </c>
    </row>
    <row r="116" spans="1:13" x14ac:dyDescent="0.35">
      <c r="A116">
        <v>1115</v>
      </c>
      <c r="B116" s="2">
        <v>46137</v>
      </c>
      <c r="C116" t="s">
        <v>34</v>
      </c>
      <c r="D116" t="s">
        <v>14</v>
      </c>
      <c r="E116" t="s">
        <v>160</v>
      </c>
      <c r="F116" t="s">
        <v>26</v>
      </c>
      <c r="G116" t="s">
        <v>17</v>
      </c>
      <c r="H116" t="s">
        <v>18</v>
      </c>
      <c r="I116">
        <v>249.52</v>
      </c>
      <c r="J116" t="s">
        <v>19</v>
      </c>
      <c r="K116" t="s">
        <v>21</v>
      </c>
      <c r="L116" t="s">
        <v>20</v>
      </c>
      <c r="M116" t="s">
        <v>22</v>
      </c>
    </row>
    <row r="117" spans="1:13" x14ac:dyDescent="0.35">
      <c r="A117">
        <v>1116</v>
      </c>
      <c r="B117" s="2">
        <v>46138</v>
      </c>
      <c r="C117" t="s">
        <v>30</v>
      </c>
      <c r="D117" t="s">
        <v>191</v>
      </c>
      <c r="E117" t="s">
        <v>161</v>
      </c>
      <c r="F117" t="s">
        <v>38</v>
      </c>
      <c r="G117" t="s">
        <v>53</v>
      </c>
      <c r="H117" t="s">
        <v>54</v>
      </c>
      <c r="I117">
        <v>0</v>
      </c>
      <c r="J117" t="s">
        <v>19</v>
      </c>
      <c r="K117" t="s">
        <v>20</v>
      </c>
      <c r="L117" t="s">
        <v>20</v>
      </c>
      <c r="M117" t="s">
        <v>36</v>
      </c>
    </row>
    <row r="118" spans="1:13" x14ac:dyDescent="0.35">
      <c r="A118">
        <v>1117</v>
      </c>
      <c r="B118" s="2">
        <v>46139</v>
      </c>
      <c r="C118" t="s">
        <v>23</v>
      </c>
      <c r="D118" t="s">
        <v>24</v>
      </c>
      <c r="E118" t="s">
        <v>162</v>
      </c>
      <c r="F118" t="s">
        <v>26</v>
      </c>
      <c r="G118" t="s">
        <v>42</v>
      </c>
      <c r="H118" t="s">
        <v>43</v>
      </c>
      <c r="I118">
        <v>136.54</v>
      </c>
      <c r="J118" t="s">
        <v>19</v>
      </c>
      <c r="K118" t="s">
        <v>20</v>
      </c>
      <c r="L118" t="s">
        <v>20</v>
      </c>
      <c r="M118" t="s">
        <v>29</v>
      </c>
    </row>
    <row r="119" spans="1:13" x14ac:dyDescent="0.35">
      <c r="A119">
        <v>1118</v>
      </c>
      <c r="B119" s="2">
        <v>46140</v>
      </c>
      <c r="C119" t="s">
        <v>13</v>
      </c>
      <c r="D119" t="s">
        <v>14</v>
      </c>
      <c r="E119" t="s">
        <v>163</v>
      </c>
      <c r="F119" t="s">
        <v>61</v>
      </c>
      <c r="G119" t="s">
        <v>42</v>
      </c>
      <c r="H119" t="s">
        <v>43</v>
      </c>
      <c r="I119">
        <v>329.93</v>
      </c>
      <c r="J119" t="s">
        <v>19</v>
      </c>
      <c r="K119" t="s">
        <v>20</v>
      </c>
      <c r="L119" s="3" t="s">
        <v>21</v>
      </c>
      <c r="M119" t="s">
        <v>22</v>
      </c>
    </row>
    <row r="120" spans="1:13" x14ac:dyDescent="0.35">
      <c r="A120">
        <v>1119</v>
      </c>
      <c r="B120" s="2">
        <v>46141</v>
      </c>
      <c r="C120" t="s">
        <v>34</v>
      </c>
      <c r="D120" t="s">
        <v>14</v>
      </c>
      <c r="E120" t="s">
        <v>164</v>
      </c>
      <c r="F120" t="s">
        <v>38</v>
      </c>
      <c r="G120" t="s">
        <v>32</v>
      </c>
      <c r="H120" t="s">
        <v>33</v>
      </c>
      <c r="I120">
        <v>175.74</v>
      </c>
      <c r="J120" t="s">
        <v>19</v>
      </c>
      <c r="K120" t="s">
        <v>20</v>
      </c>
      <c r="L120" t="s">
        <v>20</v>
      </c>
      <c r="M120" t="s">
        <v>22</v>
      </c>
    </row>
    <row r="121" spans="1:13" x14ac:dyDescent="0.35">
      <c r="A121">
        <v>1120</v>
      </c>
      <c r="B121" s="2">
        <v>46142</v>
      </c>
      <c r="C121" t="s">
        <v>13</v>
      </c>
      <c r="D121" t="s">
        <v>14</v>
      </c>
      <c r="E121" t="s">
        <v>165</v>
      </c>
      <c r="F121" t="s">
        <v>61</v>
      </c>
      <c r="G121" t="s">
        <v>53</v>
      </c>
      <c r="H121" t="s">
        <v>54</v>
      </c>
      <c r="I121" s="4">
        <v>650</v>
      </c>
      <c r="J121" t="s">
        <v>19</v>
      </c>
      <c r="K121" t="s">
        <v>20</v>
      </c>
      <c r="L121" t="s">
        <v>20</v>
      </c>
      <c r="M121" t="s">
        <v>29</v>
      </c>
    </row>
  </sheetData>
  <autoFilter ref="A1:M1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F10" sqref="F10"/>
    </sheetView>
  </sheetViews>
  <sheetFormatPr defaultRowHeight="14.5" x14ac:dyDescent="0.35"/>
  <cols>
    <col min="1" max="1" width="9" bestFit="1" customWidth="1"/>
    <col min="2" max="2" width="10.08984375" bestFit="1" customWidth="1"/>
  </cols>
  <sheetData>
    <row r="1" spans="1:2" x14ac:dyDescent="0.35">
      <c r="A1" s="5" t="s">
        <v>6</v>
      </c>
      <c r="B1" s="5" t="s">
        <v>166</v>
      </c>
    </row>
    <row r="2" spans="1:2" x14ac:dyDescent="0.35">
      <c r="A2" t="s">
        <v>42</v>
      </c>
      <c r="B2">
        <v>180</v>
      </c>
    </row>
    <row r="3" spans="1:2" x14ac:dyDescent="0.35">
      <c r="A3" t="s">
        <v>53</v>
      </c>
      <c r="B3">
        <v>60</v>
      </c>
    </row>
    <row r="4" spans="1:2" x14ac:dyDescent="0.35">
      <c r="A4" t="s">
        <v>32</v>
      </c>
      <c r="B4">
        <v>35</v>
      </c>
    </row>
    <row r="5" spans="1:2" x14ac:dyDescent="0.35">
      <c r="A5" t="s">
        <v>49</v>
      </c>
      <c r="B5">
        <v>50</v>
      </c>
    </row>
    <row r="6" spans="1:2" x14ac:dyDescent="0.35">
      <c r="A6" t="s">
        <v>27</v>
      </c>
      <c r="B6">
        <v>250</v>
      </c>
    </row>
    <row r="7" spans="1:2" x14ac:dyDescent="0.35">
      <c r="A7" t="s">
        <v>56</v>
      </c>
      <c r="B7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J15" sqref="J15"/>
    </sheetView>
  </sheetViews>
  <sheetFormatPr defaultRowHeight="14.5" x14ac:dyDescent="0.35"/>
  <cols>
    <col min="1" max="1" width="11.81640625" bestFit="1" customWidth="1"/>
    <col min="2" max="2" width="14.54296875" bestFit="1" customWidth="1"/>
    <col min="3" max="3" width="6.81640625" bestFit="1" customWidth="1"/>
    <col min="4" max="4" width="11.81640625" bestFit="1" customWidth="1"/>
  </cols>
  <sheetData>
    <row r="1" spans="1:4" x14ac:dyDescent="0.35">
      <c r="A1" s="6" t="s">
        <v>4</v>
      </c>
      <c r="B1" s="6" t="s">
        <v>167</v>
      </c>
      <c r="C1" s="6" t="s">
        <v>168</v>
      </c>
      <c r="D1" s="6" t="s">
        <v>169</v>
      </c>
    </row>
    <row r="2" spans="1:4" x14ac:dyDescent="0.35">
      <c r="A2" t="s">
        <v>170</v>
      </c>
      <c r="B2">
        <v>118511</v>
      </c>
      <c r="C2">
        <v>69970</v>
      </c>
      <c r="D2" s="8">
        <f t="shared" ref="D2:D16" si="0">C2/B2</f>
        <v>0.59040932909181432</v>
      </c>
    </row>
    <row r="3" spans="1:4" x14ac:dyDescent="0.35">
      <c r="A3" t="s">
        <v>171</v>
      </c>
      <c r="B3">
        <v>93972</v>
      </c>
      <c r="C3">
        <v>100975</v>
      </c>
      <c r="D3" s="8">
        <f t="shared" si="0"/>
        <v>1.0745221981015622</v>
      </c>
    </row>
    <row r="4" spans="1:4" x14ac:dyDescent="0.35">
      <c r="A4" t="s">
        <v>172</v>
      </c>
      <c r="B4">
        <v>128359</v>
      </c>
      <c r="C4">
        <v>18996</v>
      </c>
      <c r="D4" s="8">
        <f t="shared" si="0"/>
        <v>0.1479911809845823</v>
      </c>
    </row>
    <row r="5" spans="1:4" x14ac:dyDescent="0.35">
      <c r="A5" t="s">
        <v>173</v>
      </c>
      <c r="B5">
        <v>109642</v>
      </c>
      <c r="C5">
        <v>38590</v>
      </c>
      <c r="D5" s="8">
        <f t="shared" si="0"/>
        <v>0.35196366355958481</v>
      </c>
    </row>
    <row r="6" spans="1:4" x14ac:dyDescent="0.35">
      <c r="A6" t="s">
        <v>174</v>
      </c>
      <c r="B6">
        <v>140871</v>
      </c>
      <c r="C6">
        <v>41710</v>
      </c>
      <c r="D6" s="8">
        <f t="shared" si="0"/>
        <v>0.29608649047710317</v>
      </c>
    </row>
    <row r="7" spans="1:4" x14ac:dyDescent="0.35">
      <c r="A7" t="s">
        <v>175</v>
      </c>
      <c r="B7">
        <v>131202</v>
      </c>
      <c r="C7">
        <v>71472</v>
      </c>
      <c r="D7" s="8">
        <f t="shared" si="0"/>
        <v>0.5447477934787579</v>
      </c>
    </row>
    <row r="8" spans="1:4" x14ac:dyDescent="0.35">
      <c r="A8" t="s">
        <v>176</v>
      </c>
      <c r="B8">
        <v>82089</v>
      </c>
      <c r="C8">
        <v>88845</v>
      </c>
      <c r="D8" s="8">
        <f t="shared" si="0"/>
        <v>1.0823009172970799</v>
      </c>
    </row>
    <row r="9" spans="1:4" x14ac:dyDescent="0.35">
      <c r="A9" t="s">
        <v>177</v>
      </c>
      <c r="B9">
        <v>74143</v>
      </c>
      <c r="C9">
        <v>79648</v>
      </c>
      <c r="D9" s="8">
        <f t="shared" si="0"/>
        <v>1.0742484118527711</v>
      </c>
    </row>
    <row r="10" spans="1:4" x14ac:dyDescent="0.35">
      <c r="A10" t="s">
        <v>178</v>
      </c>
      <c r="B10">
        <v>85054</v>
      </c>
      <c r="C10">
        <v>109527</v>
      </c>
      <c r="D10" s="8">
        <f t="shared" si="0"/>
        <v>1.2877348508006679</v>
      </c>
    </row>
    <row r="11" spans="1:4" x14ac:dyDescent="0.35">
      <c r="A11" t="s">
        <v>179</v>
      </c>
      <c r="B11">
        <v>134849</v>
      </c>
      <c r="C11">
        <v>108180</v>
      </c>
      <c r="D11" s="8">
        <f t="shared" si="0"/>
        <v>0.80223064316383508</v>
      </c>
    </row>
    <row r="12" spans="1:4" x14ac:dyDescent="0.35">
      <c r="A12" t="s">
        <v>180</v>
      </c>
      <c r="B12">
        <v>52401</v>
      </c>
      <c r="C12">
        <v>104691</v>
      </c>
      <c r="D12" s="8">
        <f t="shared" si="0"/>
        <v>1.9978817198145074</v>
      </c>
    </row>
    <row r="13" spans="1:4" x14ac:dyDescent="0.35">
      <c r="A13" t="s">
        <v>181</v>
      </c>
      <c r="B13">
        <v>106364</v>
      </c>
      <c r="C13">
        <v>34756</v>
      </c>
      <c r="D13" s="8">
        <f t="shared" si="0"/>
        <v>0.32676469482155618</v>
      </c>
    </row>
    <row r="14" spans="1:4" x14ac:dyDescent="0.35">
      <c r="A14" t="s">
        <v>182</v>
      </c>
      <c r="B14">
        <v>133099</v>
      </c>
      <c r="C14">
        <v>88100</v>
      </c>
      <c r="D14" s="8">
        <f t="shared" si="0"/>
        <v>0.66191331264697706</v>
      </c>
    </row>
    <row r="15" spans="1:4" x14ac:dyDescent="0.35">
      <c r="A15" t="s">
        <v>183</v>
      </c>
      <c r="B15">
        <v>56411</v>
      </c>
      <c r="C15">
        <v>42387</v>
      </c>
      <c r="D15" s="8">
        <f t="shared" si="0"/>
        <v>0.75139600432539755</v>
      </c>
    </row>
    <row r="16" spans="1:4" x14ac:dyDescent="0.35">
      <c r="A16" t="s">
        <v>184</v>
      </c>
      <c r="B16">
        <v>141961</v>
      </c>
      <c r="C16">
        <v>78406</v>
      </c>
      <c r="D16" s="8">
        <f t="shared" si="0"/>
        <v>0.55230661942364456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9" sqref="A9"/>
    </sheetView>
  </sheetViews>
  <sheetFormatPr defaultRowHeight="14.5" x14ac:dyDescent="0.35"/>
  <cols>
    <col min="1" max="1" width="29" bestFit="1" customWidth="1"/>
    <col min="2" max="2" width="8.81640625" bestFit="1" customWidth="1"/>
  </cols>
  <sheetData>
    <row r="1" spans="1:2" x14ac:dyDescent="0.35">
      <c r="A1" s="7" t="s">
        <v>185</v>
      </c>
      <c r="B1" s="7" t="s">
        <v>186</v>
      </c>
    </row>
    <row r="2" spans="1:2" x14ac:dyDescent="0.35">
      <c r="A2" t="s">
        <v>187</v>
      </c>
      <c r="B2">
        <f>SUM('Note Spese'!I:I)</f>
        <v>21949.44999999999</v>
      </c>
    </row>
    <row r="3" spans="1:2" x14ac:dyDescent="0.35">
      <c r="A3" t="s">
        <v>188</v>
      </c>
      <c r="B3">
        <f>COUNTIF('Note Spese'!L:L,"No")</f>
        <v>10</v>
      </c>
    </row>
    <row r="4" spans="1:2" x14ac:dyDescent="0.35">
      <c r="A4" t="s">
        <v>189</v>
      </c>
      <c r="B4">
        <f>COUNTIF('Note Spese'!I:I,"&gt;500")</f>
        <v>7</v>
      </c>
    </row>
    <row r="5" spans="1:2" x14ac:dyDescent="0.35">
      <c r="A5" t="s">
        <v>190</v>
      </c>
      <c r="B5">
        <f>COUNTA('Note Spese'!A:A)-1</f>
        <v>120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 Spese</vt:lpstr>
      <vt:lpstr>Policy</vt:lpstr>
      <vt:lpstr>Budget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PASTORELLO, MARCO</cp:lastModifiedBy>
  <dcterms:created xsi:type="dcterms:W3CDTF">2026-09-18T13:32:34Z</dcterms:created>
  <dcterms:modified xsi:type="dcterms:W3CDTF">2026-09-18T13:35:04Z</dcterms:modified>
</cp:coreProperties>
</file>